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rsm-bloomberg\Downloads\"/>
    </mc:Choice>
  </mc:AlternateContent>
  <xr:revisionPtr revIDLastSave="0" documentId="13_ncr:1_{0E16C8F9-6CD9-4344-8113-DC405ACD3C8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definedNames>
    <definedName name="SpreadsheetBuilder_1" hidden="1">Sheet1!$B$3:$V$9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" i="1" l="1"/>
  <c r="S9" i="1"/>
  <c r="O9" i="1"/>
  <c r="G9" i="1"/>
  <c r="B9" i="1"/>
  <c r="V7" i="1"/>
  <c r="N7" i="1"/>
  <c r="T7" i="1"/>
  <c r="R7" i="1"/>
  <c r="Q7" i="1"/>
  <c r="P7" i="1"/>
  <c r="S7" i="1"/>
  <c r="O7" i="1"/>
  <c r="U7" i="1"/>
  <c r="M7" i="1"/>
  <c r="J7" i="1"/>
  <c r="H7" i="1"/>
  <c r="L7" i="1"/>
  <c r="K7" i="1"/>
  <c r="F7" i="1"/>
  <c r="G7" i="1"/>
  <c r="D7" i="1"/>
  <c r="I7" i="1"/>
  <c r="C7" i="1"/>
  <c r="E7" i="1"/>
</calcChain>
</file>

<file path=xl/sharedStrings.xml><?xml version="1.0" encoding="utf-8"?>
<sst xmlns="http://schemas.openxmlformats.org/spreadsheetml/2006/main" count="633" uniqueCount="13">
  <si>
    <t>Start Date</t>
  </si>
  <si>
    <t>End Date</t>
  </si>
  <si>
    <t>XLK US Equity</t>
  </si>
  <si>
    <t>XLE US Equity</t>
  </si>
  <si>
    <t>XLV US Equity</t>
  </si>
  <si>
    <t>XLF US Equity</t>
  </si>
  <si>
    <t>XLI US Equity</t>
  </si>
  <si>
    <t>Dates</t>
  </si>
  <si>
    <t>PX_LAST</t>
  </si>
  <si>
    <t>RETURN_SHARPE_RATIO</t>
  </si>
  <si>
    <t>FUND_FLOW</t>
  </si>
  <si>
    <t>TURNOVER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</si>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</sst>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BDH|14205532871823817851</stp>
        <tr r="B9" s="1"/>
      </tp>
      <tp t="s">
        <v>#N/A N/A</v>
        <stp/>
        <stp>BDH|13284153642973403619</stp>
        <tr r="O9" s="1"/>
      </tp>
      <tp t="s">
        <v>#N/A N/A</v>
        <stp/>
        <stp>BDH|10660444878440401312</stp>
        <tr r="G9" s="1"/>
      </tp>
    </main>
    <main first="bloomberg.rtd">
      <tp t="s">
        <v>Return Sharpe Ratio</v>
        <stp/>
        <stp>##V3_BFIELDINFOV12</stp>
        <stp>[Bloombergindex_data.xlsx]Sheet1!R7C8</stp>
        <stp>RETURN_SHARPE_RATIO</stp>
        <tr r="H7" s="1"/>
      </tp>
      <tp t="s">
        <v>Return Sharpe Ratio</v>
        <stp/>
        <stp>##V3_BFIELDINFOV12</stp>
        <stp>[Bloombergindex_data.xlsx]Sheet1!R7C4</stp>
        <stp>RETURN_SHARPE_RATIO</stp>
        <tr r="D7" s="1"/>
      </tp>
    </main>
    <main first="bofaddin.rtdserver">
      <tp t="s">
        <v>#N/A N/A</v>
        <stp/>
        <stp>BDH|13230005032959457835</stp>
        <tr r="S9" s="1"/>
      </tp>
      <tp t="s">
        <v>#N/A N/A</v>
        <stp/>
        <stp>BDH|14520659564515668463</stp>
        <tr r="K9" s="1"/>
      </tp>
    </main>
    <main first="bloomberg.rtd">
      <tp t="s">
        <v>Turnover / Traded Value</v>
        <stp/>
        <stp>##V3_BFIELDINFOV12</stp>
        <stp>[Bloombergindex_data.xlsx]Sheet1!R7C6</stp>
        <stp>TURNOVER</stp>
        <tr r="F7" s="1"/>
      </tp>
      <tp t="s">
        <v>Last Price</v>
        <stp/>
        <stp>##V3_BFIELDINFOV12</stp>
        <stp>[Bloombergindex_data.xlsx]Sheet1!R7C15</stp>
        <stp>PX_LAST</stp>
        <tr r="O7" s="1"/>
      </tp>
      <tp t="s">
        <v>Last Price</v>
        <stp/>
        <stp>##V3_BFIELDINFOV12</stp>
        <stp>[Bloombergindex_data.xlsx]Sheet1!R7C11</stp>
        <stp>PX_LAST</stp>
        <tr r="K7" s="1"/>
      </tp>
      <tp t="s">
        <v>Last Price</v>
        <stp/>
        <stp>##V3_BFIELDINFOV12</stp>
        <stp>[Bloombergindex_data.xlsx]Sheet1!R7C19</stp>
        <stp>PX_LAST</stp>
        <tr r="S7" s="1"/>
      </tp>
      <tp t="s">
        <v>Fund Flow</v>
        <stp/>
        <stp>##V3_BFIELDINFOV12</stp>
        <stp>[Bloombergindex_data.xlsx]Sheet1!R7C17</stp>
        <stp>FUND_FLOW</stp>
        <tr r="Q7" s="1"/>
      </tp>
      <tp t="s">
        <v>Fund Flow</v>
        <stp/>
        <stp>##V3_BFIELDINFOV12</stp>
        <stp>[Bloombergindex_data.xlsx]Sheet1!R7C13</stp>
        <stp>FUND_FLOW</stp>
        <tr r="M7" s="1"/>
      </tp>
      <tp t="s">
        <v>Fund Flow</v>
        <stp/>
        <stp>##V3_BFIELDINFOV12</stp>
        <stp>[Bloombergindex_data.xlsx]Sheet1!R7C21</stp>
        <stp>FUND_FLOW</stp>
        <tr r="U7" s="1"/>
      </tp>
      <tp t="s">
        <v>Last Price</v>
        <stp/>
        <stp>##V3_BFIELDINFOV12</stp>
        <stp>[Bloombergindex_data.xlsx]Sheet1!R7C3</stp>
        <stp>PX_LAST</stp>
        <tr r="C7" s="1"/>
      </tp>
      <tp t="s">
        <v>Last Price</v>
        <stp/>
        <stp>##V3_BFIELDINFOV12</stp>
        <stp>[Bloombergindex_data.xlsx]Sheet1!R7C7</stp>
        <stp>PX_LAST</stp>
        <tr r="G7" s="1"/>
      </tp>
      <tp t="s">
        <v>Fund Flow</v>
        <stp/>
        <stp>##V3_BFIELDINFOV12</stp>
        <stp>[Bloombergindex_data.xlsx]Sheet1!R7C9</stp>
        <stp>FUND_FLOW</stp>
        <tr r="I7" s="1"/>
      </tp>
      <tp t="s">
        <v>Turnover / Traded Value</v>
        <stp/>
        <stp>##V3_BFIELDINFOV12</stp>
        <stp>[Bloombergindex_data.xlsx]Sheet1!R7C18</stp>
        <stp>TURNOVER</stp>
        <tr r="R7" s="1"/>
      </tp>
      <tp t="s">
        <v>Turnover / Traded Value</v>
        <stp/>
        <stp>##V3_BFIELDINFOV12</stp>
        <stp>[Bloombergindex_data.xlsx]Sheet1!R7C10</stp>
        <stp>TURNOVER</stp>
        <tr r="J7" s="1"/>
      </tp>
      <tp t="s">
        <v>Turnover / Traded Value</v>
        <stp/>
        <stp>##V3_BFIELDINFOV12</stp>
        <stp>[Bloombergindex_data.xlsx]Sheet1!R7C14</stp>
        <stp>TURNOVER</stp>
        <tr r="N7" s="1"/>
      </tp>
      <tp t="s">
        <v>Turnover / Traded Value</v>
        <stp/>
        <stp>##V3_BFIELDINFOV12</stp>
        <stp>[Bloombergindex_data.xlsx]Sheet1!R7C22</stp>
        <stp>TURNOVER</stp>
        <tr r="V7" s="1"/>
      </tp>
      <tp t="s">
        <v>Fund Flow</v>
        <stp/>
        <stp>##V3_BFIELDINFOV12</stp>
        <stp>[Bloombergindex_data.xlsx]Sheet1!R7C5</stp>
        <stp>FUND_FLOW</stp>
        <tr r="E7" s="1"/>
      </tp>
      <tp t="s">
        <v>Return Sharpe Ratio</v>
        <stp/>
        <stp>##V3_BFIELDINFOV12</stp>
        <stp>[Bloombergindex_data.xlsx]Sheet1!R7C20</stp>
        <stp>RETURN_SHARPE_RATIO</stp>
        <tr r="T7" s="1"/>
      </tp>
      <tp t="s">
        <v>Return Sharpe Ratio</v>
        <stp/>
        <stp>##V3_BFIELDINFOV12</stp>
        <stp>[Bloombergindex_data.xlsx]Sheet1!R7C12</stp>
        <stp>RETURN_SHARPE_RATIO</stp>
        <tr r="L7" s="1"/>
      </tp>
      <tp t="s">
        <v>Return Sharpe Ratio</v>
        <stp/>
        <stp>##V3_BFIELDINFOV12</stp>
        <stp>[Bloombergindex_data.xlsx]Sheet1!R7C16</stp>
        <stp>RETURN_SHARPE_RATIO</stp>
        <tr r="P7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V129"/>
  <sheetViews>
    <sheetView tabSelected="1" topLeftCell="B1" workbookViewId="0">
      <selection activeCell="W23" sqref="W23"/>
    </sheetView>
  </sheetViews>
  <sheetFormatPr defaultRowHeight="15" x14ac:dyDescent="0.25"/>
  <cols>
    <col min="2" max="2" width="10.7109375" bestFit="1" customWidth="1"/>
  </cols>
  <sheetData>
    <row r="3" spans="2:22" x14ac:dyDescent="0.25">
      <c r="B3" t="s">
        <v>0</v>
      </c>
      <c r="C3" s="1">
        <v>42303</v>
      </c>
    </row>
    <row r="4" spans="2:22" x14ac:dyDescent="0.25">
      <c r="B4" t="s">
        <v>1</v>
      </c>
      <c r="C4" s="1">
        <v>45987</v>
      </c>
    </row>
    <row r="6" spans="2:22" x14ac:dyDescent="0.25">
      <c r="C6" t="s">
        <v>2</v>
      </c>
      <c r="G6" t="s">
        <v>3</v>
      </c>
      <c r="K6" t="s">
        <v>4</v>
      </c>
      <c r="O6" t="s">
        <v>5</v>
      </c>
      <c r="S6" t="s">
        <v>6</v>
      </c>
    </row>
    <row r="7" spans="2:22" x14ac:dyDescent="0.25">
      <c r="C7" t="str">
        <f>_xll.BFieldInfo(C$8)</f>
        <v>Last Price</v>
      </c>
      <c r="D7" t="str">
        <f>_xll.BFieldInfo(D$8)</f>
        <v>Return Sharpe Ratio</v>
      </c>
      <c r="E7" t="str">
        <f>_xll.BFieldInfo(E$8)</f>
        <v>Fund Flow</v>
      </c>
      <c r="F7" t="str">
        <f>_xll.BFieldInfo(F$8)</f>
        <v>Turnover / Traded Value</v>
      </c>
      <c r="G7" t="str">
        <f>_xll.BFieldInfo(G$8)</f>
        <v>Last Price</v>
      </c>
      <c r="H7" t="str">
        <f>_xll.BFieldInfo(H$8)</f>
        <v>Return Sharpe Ratio</v>
      </c>
      <c r="I7" t="str">
        <f>_xll.BFieldInfo(I$8)</f>
        <v>Fund Flow</v>
      </c>
      <c r="J7" t="str">
        <f>_xll.BFieldInfo(J$8)</f>
        <v>Turnover / Traded Value</v>
      </c>
      <c r="K7" t="str">
        <f>_xll.BFieldInfo(K$8)</f>
        <v>Last Price</v>
      </c>
      <c r="L7" t="str">
        <f>_xll.BFieldInfo(L$8)</f>
        <v>Return Sharpe Ratio</v>
      </c>
      <c r="M7" t="str">
        <f>_xll.BFieldInfo(M$8)</f>
        <v>Fund Flow</v>
      </c>
      <c r="N7" t="str">
        <f>_xll.BFieldInfo(N$8)</f>
        <v>Turnover / Traded Value</v>
      </c>
      <c r="O7" t="str">
        <f>_xll.BFieldInfo(O$8)</f>
        <v>Last Price</v>
      </c>
      <c r="P7" t="str">
        <f>_xll.BFieldInfo(P$8)</f>
        <v>Return Sharpe Ratio</v>
      </c>
      <c r="Q7" t="str">
        <f>_xll.BFieldInfo(Q$8)</f>
        <v>Fund Flow</v>
      </c>
      <c r="R7" t="str">
        <f>_xll.BFieldInfo(R$8)</f>
        <v>Turnover / Traded Value</v>
      </c>
      <c r="S7" t="str">
        <f>_xll.BFieldInfo(S$8)</f>
        <v>Last Price</v>
      </c>
      <c r="T7" t="str">
        <f>_xll.BFieldInfo(T$8)</f>
        <v>Return Sharpe Ratio</v>
      </c>
      <c r="U7" t="str">
        <f>_xll.BFieldInfo(U$8)</f>
        <v>Fund Flow</v>
      </c>
      <c r="V7" t="str">
        <f>_xll.BFieldInfo(V$8)</f>
        <v>Turnover / Traded Value</v>
      </c>
    </row>
    <row r="8" spans="2:22" x14ac:dyDescent="0.25"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8</v>
      </c>
      <c r="H8" t="s">
        <v>9</v>
      </c>
      <c r="I8" t="s">
        <v>10</v>
      </c>
      <c r="J8" t="s">
        <v>11</v>
      </c>
      <c r="K8" t="s">
        <v>8</v>
      </c>
      <c r="L8" t="s">
        <v>9</v>
      </c>
      <c r="M8" t="s">
        <v>10</v>
      </c>
      <c r="N8" t="s">
        <v>11</v>
      </c>
      <c r="O8" t="s">
        <v>8</v>
      </c>
      <c r="P8" t="s">
        <v>9</v>
      </c>
      <c r="Q8" t="s">
        <v>10</v>
      </c>
      <c r="R8" t="s">
        <v>11</v>
      </c>
      <c r="S8" t="s">
        <v>8</v>
      </c>
      <c r="T8" t="s">
        <v>9</v>
      </c>
      <c r="U8" t="s">
        <v>10</v>
      </c>
      <c r="V8" t="s">
        <v>11</v>
      </c>
    </row>
    <row r="9" spans="2:22" x14ac:dyDescent="0.25">
      <c r="B9" s="1">
        <f>_xll.BDH(C$6,C$8:F$8,$C3,$C4,"Dir=V","Per=M","Days=A","Dts=S","cols=5;rows=121")</f>
        <v>42307</v>
      </c>
      <c r="C9">
        <v>43.65</v>
      </c>
      <c r="D9" t="s">
        <v>12</v>
      </c>
      <c r="E9">
        <v>452.53289999999998</v>
      </c>
      <c r="F9">
        <v>9790330000</v>
      </c>
      <c r="G9">
        <f>_xll.BDH(G$6,G$8:J$8,$C3,$C4,"Dir=V","Per=M","Days=A","Dts=H","cols=4;rows=121")</f>
        <v>68.03</v>
      </c>
      <c r="H9" t="s">
        <v>12</v>
      </c>
      <c r="I9">
        <v>65.045900000000003</v>
      </c>
      <c r="J9">
        <v>29432750000</v>
      </c>
      <c r="K9">
        <f>_xll.BDH(K$6,K$8:N$8,$C3,$C4,"Dir=V","Per=M","Days=A","Dts=H","cols=4;rows=121")</f>
        <v>71.34</v>
      </c>
      <c r="L9" t="s">
        <v>12</v>
      </c>
      <c r="M9">
        <v>267.4828</v>
      </c>
      <c r="N9">
        <v>32391240000</v>
      </c>
      <c r="O9">
        <f>_xll.BDH(O$6,O$8:R$8,$C3,$C4,"Dir=V","Per=M","Days=A","Dts=H","cols=4;rows=121")</f>
        <v>19.5534</v>
      </c>
      <c r="P9" t="s">
        <v>12</v>
      </c>
      <c r="Q9">
        <v>419.964</v>
      </c>
      <c r="R9">
        <v>19412430000</v>
      </c>
      <c r="S9">
        <f>_xll.BDH(S$6,S$8:V$8,$C3,$C4,"Dir=V","Per=M","Days=A","Dts=H","cols=4;rows=121")</f>
        <v>54.27</v>
      </c>
      <c r="T9" t="s">
        <v>12</v>
      </c>
      <c r="U9">
        <v>183.7654</v>
      </c>
      <c r="V9">
        <v>16576560000</v>
      </c>
    </row>
    <row r="10" spans="2:22" x14ac:dyDescent="0.25">
      <c r="B10" s="1">
        <v>42338</v>
      </c>
      <c r="C10">
        <v>43.96</v>
      </c>
      <c r="D10" t="s">
        <v>12</v>
      </c>
      <c r="E10">
        <v>808.08479999999997</v>
      </c>
      <c r="F10">
        <v>8362446000</v>
      </c>
      <c r="G10">
        <v>68.02</v>
      </c>
      <c r="H10" t="s">
        <v>12</v>
      </c>
      <c r="I10">
        <v>-162.3546</v>
      </c>
      <c r="J10">
        <v>21925670000</v>
      </c>
      <c r="K10">
        <v>71.11</v>
      </c>
      <c r="L10" t="s">
        <v>12</v>
      </c>
      <c r="M10">
        <v>-428.49979999999999</v>
      </c>
      <c r="N10">
        <v>15345530000</v>
      </c>
      <c r="O10">
        <v>19.943100000000001</v>
      </c>
      <c r="P10" t="s">
        <v>12</v>
      </c>
      <c r="Q10">
        <v>490.07470000000001</v>
      </c>
      <c r="R10">
        <v>18726610000</v>
      </c>
      <c r="S10">
        <v>54.74</v>
      </c>
      <c r="T10" t="s">
        <v>12</v>
      </c>
      <c r="U10">
        <v>67.398200000000003</v>
      </c>
      <c r="V10">
        <v>13383280000</v>
      </c>
    </row>
    <row r="11" spans="2:22" x14ac:dyDescent="0.25">
      <c r="B11" s="1">
        <v>42369</v>
      </c>
      <c r="C11">
        <v>42.83</v>
      </c>
      <c r="D11" t="s">
        <v>12</v>
      </c>
      <c r="E11">
        <v>121.3468</v>
      </c>
      <c r="F11">
        <v>11331090000</v>
      </c>
      <c r="G11">
        <v>60.32</v>
      </c>
      <c r="H11" t="s">
        <v>12</v>
      </c>
      <c r="I11">
        <v>767.34349999999995</v>
      </c>
      <c r="J11">
        <v>34365810000</v>
      </c>
      <c r="K11">
        <v>72.03</v>
      </c>
      <c r="L11" t="s">
        <v>12</v>
      </c>
      <c r="M11">
        <v>23.6846</v>
      </c>
      <c r="N11">
        <v>17002210000</v>
      </c>
      <c r="O11">
        <v>19.3504</v>
      </c>
      <c r="P11" t="s">
        <v>12</v>
      </c>
      <c r="Q11">
        <v>457.76620000000003</v>
      </c>
      <c r="R11">
        <v>23846850000</v>
      </c>
      <c r="S11">
        <v>53.01</v>
      </c>
      <c r="T11" t="s">
        <v>12</v>
      </c>
      <c r="U11">
        <v>-972.31140000000005</v>
      </c>
      <c r="V11">
        <v>15641860000</v>
      </c>
    </row>
    <row r="12" spans="2:22" x14ac:dyDescent="0.25">
      <c r="B12" s="1">
        <v>42398</v>
      </c>
      <c r="C12">
        <v>41.24</v>
      </c>
      <c r="D12" t="s">
        <v>12</v>
      </c>
      <c r="E12">
        <v>-1115.6076</v>
      </c>
      <c r="F12">
        <v>13723370000</v>
      </c>
      <c r="G12">
        <v>58.21</v>
      </c>
      <c r="H12" t="s">
        <v>12</v>
      </c>
      <c r="I12">
        <v>313.95760000000001</v>
      </c>
      <c r="J12">
        <v>33910860000</v>
      </c>
      <c r="K12">
        <v>66.47</v>
      </c>
      <c r="L12" t="s">
        <v>12</v>
      </c>
      <c r="M12">
        <v>238.18819999999999</v>
      </c>
      <c r="N12">
        <v>22475650000</v>
      </c>
      <c r="O12">
        <v>17.637</v>
      </c>
      <c r="P12" t="s">
        <v>12</v>
      </c>
      <c r="Q12">
        <v>-697.55920000000003</v>
      </c>
      <c r="R12">
        <v>28470010000</v>
      </c>
      <c r="S12">
        <v>49.99</v>
      </c>
      <c r="T12" t="s">
        <v>12</v>
      </c>
      <c r="U12">
        <v>96.188000000000002</v>
      </c>
      <c r="V12">
        <v>15251730000</v>
      </c>
    </row>
    <row r="13" spans="2:22" x14ac:dyDescent="0.25">
      <c r="B13" s="1">
        <v>42429</v>
      </c>
      <c r="C13">
        <v>40.97</v>
      </c>
      <c r="D13" t="s">
        <v>12</v>
      </c>
      <c r="E13">
        <v>-169.42490000000001</v>
      </c>
      <c r="F13">
        <v>11740270000</v>
      </c>
      <c r="G13">
        <v>56.58</v>
      </c>
      <c r="H13" t="s">
        <v>12</v>
      </c>
      <c r="I13">
        <v>366.91340000000002</v>
      </c>
      <c r="J13">
        <v>32703000000</v>
      </c>
      <c r="K13">
        <v>66.229200000000006</v>
      </c>
      <c r="L13" t="s">
        <v>12</v>
      </c>
      <c r="M13">
        <v>-717.18039999999996</v>
      </c>
      <c r="N13">
        <v>18530250000</v>
      </c>
      <c r="O13">
        <v>17.125399999999999</v>
      </c>
      <c r="P13" t="s">
        <v>12</v>
      </c>
      <c r="Q13">
        <v>-730.58029999999997</v>
      </c>
      <c r="R13">
        <v>33386220000</v>
      </c>
      <c r="S13">
        <v>52.12</v>
      </c>
      <c r="T13" t="s">
        <v>12</v>
      </c>
      <c r="U13">
        <v>329.15069999999997</v>
      </c>
      <c r="V13">
        <v>15274470000</v>
      </c>
    </row>
    <row r="14" spans="2:22" x14ac:dyDescent="0.25">
      <c r="B14" s="1">
        <v>42460</v>
      </c>
      <c r="C14">
        <v>44.36</v>
      </c>
      <c r="D14" t="s">
        <v>12</v>
      </c>
      <c r="E14">
        <v>850.02819999999997</v>
      </c>
      <c r="F14">
        <v>9846996000</v>
      </c>
      <c r="G14">
        <v>61.89</v>
      </c>
      <c r="H14" t="s">
        <v>12</v>
      </c>
      <c r="I14">
        <v>173.7012</v>
      </c>
      <c r="J14">
        <v>30524150000</v>
      </c>
      <c r="K14">
        <v>67.78</v>
      </c>
      <c r="L14" t="s">
        <v>12</v>
      </c>
      <c r="M14">
        <v>-833.27520000000004</v>
      </c>
      <c r="N14">
        <v>17225600000</v>
      </c>
      <c r="O14">
        <v>18.270399999999999</v>
      </c>
      <c r="P14" t="s">
        <v>12</v>
      </c>
      <c r="Q14">
        <v>-245.48150000000001</v>
      </c>
      <c r="R14">
        <v>25330320000</v>
      </c>
      <c r="S14">
        <v>55.47</v>
      </c>
      <c r="T14" t="s">
        <v>12</v>
      </c>
      <c r="U14">
        <v>-0.39989999999999998</v>
      </c>
      <c r="V14">
        <v>12695870000</v>
      </c>
    </row>
    <row r="15" spans="2:22" x14ac:dyDescent="0.25">
      <c r="B15" s="1">
        <v>42489</v>
      </c>
      <c r="C15">
        <v>42.13</v>
      </c>
      <c r="D15" t="s">
        <v>12</v>
      </c>
      <c r="E15">
        <v>-149.0675</v>
      </c>
      <c r="F15">
        <v>9094700000</v>
      </c>
      <c r="G15">
        <v>67.5</v>
      </c>
      <c r="H15" t="s">
        <v>12</v>
      </c>
      <c r="I15">
        <v>171.1011</v>
      </c>
      <c r="J15">
        <v>24324370000</v>
      </c>
      <c r="K15">
        <v>69.790800000000004</v>
      </c>
      <c r="L15" t="s">
        <v>12</v>
      </c>
      <c r="M15">
        <v>755.19110000000001</v>
      </c>
      <c r="N15">
        <v>18102670000</v>
      </c>
      <c r="O15">
        <v>18.928100000000001</v>
      </c>
      <c r="P15" t="s">
        <v>12</v>
      </c>
      <c r="Q15">
        <v>-204.44749999999999</v>
      </c>
      <c r="R15">
        <v>21021030000</v>
      </c>
      <c r="S15">
        <v>56.16</v>
      </c>
      <c r="T15" t="s">
        <v>12</v>
      </c>
      <c r="U15">
        <v>240.21369999999999</v>
      </c>
      <c r="V15">
        <v>14089820000</v>
      </c>
    </row>
    <row r="16" spans="2:22" x14ac:dyDescent="0.25">
      <c r="B16" s="1">
        <v>42521</v>
      </c>
      <c r="C16">
        <v>44.19</v>
      </c>
      <c r="D16" t="s">
        <v>12</v>
      </c>
      <c r="E16">
        <v>-801.39729999999997</v>
      </c>
      <c r="F16">
        <v>8710058000</v>
      </c>
      <c r="G16">
        <v>66.87</v>
      </c>
      <c r="H16" t="s">
        <v>12</v>
      </c>
      <c r="I16">
        <v>-168.38749999999999</v>
      </c>
      <c r="J16">
        <v>19305290000</v>
      </c>
      <c r="K16">
        <v>71.349999999999994</v>
      </c>
      <c r="L16" t="s">
        <v>12</v>
      </c>
      <c r="M16">
        <v>-540.15700000000004</v>
      </c>
      <c r="N16">
        <v>14739830000</v>
      </c>
      <c r="O16">
        <v>19.285399999999999</v>
      </c>
      <c r="P16" t="s">
        <v>12</v>
      </c>
      <c r="Q16">
        <v>519.62929999999994</v>
      </c>
      <c r="R16">
        <v>17679820000</v>
      </c>
      <c r="S16">
        <v>55.92</v>
      </c>
      <c r="T16" t="s">
        <v>12</v>
      </c>
      <c r="U16">
        <v>-51.441499999999998</v>
      </c>
      <c r="V16">
        <v>13207360000</v>
      </c>
    </row>
    <row r="17" spans="2:22" x14ac:dyDescent="0.25">
      <c r="B17" s="1">
        <v>42551</v>
      </c>
      <c r="C17">
        <v>43.37</v>
      </c>
      <c r="D17" t="s">
        <v>12</v>
      </c>
      <c r="E17">
        <v>-11.866</v>
      </c>
      <c r="F17">
        <v>9598428000</v>
      </c>
      <c r="G17">
        <v>68.239999999999995</v>
      </c>
      <c r="H17" t="s">
        <v>12</v>
      </c>
      <c r="I17">
        <v>109.467</v>
      </c>
      <c r="J17">
        <v>22363410000</v>
      </c>
      <c r="K17">
        <v>71.704999999999998</v>
      </c>
      <c r="L17" t="s">
        <v>12</v>
      </c>
      <c r="M17">
        <v>-62.286000000000001</v>
      </c>
      <c r="N17">
        <v>16139720000</v>
      </c>
      <c r="O17">
        <v>18.558599999999998</v>
      </c>
      <c r="P17" t="s">
        <v>12</v>
      </c>
      <c r="Q17">
        <v>-1409.4126000000001</v>
      </c>
      <c r="R17">
        <v>27205620000</v>
      </c>
      <c r="S17">
        <v>56.01</v>
      </c>
      <c r="T17" t="s">
        <v>12</v>
      </c>
      <c r="U17">
        <v>-174.55930000000001</v>
      </c>
      <c r="V17">
        <v>17707400000</v>
      </c>
    </row>
    <row r="18" spans="2:22" x14ac:dyDescent="0.25">
      <c r="B18" s="1">
        <v>42580</v>
      </c>
      <c r="C18">
        <v>46.45</v>
      </c>
      <c r="D18" t="s">
        <v>12</v>
      </c>
      <c r="E18">
        <v>-801.70630000000006</v>
      </c>
      <c r="F18">
        <v>7233937000</v>
      </c>
      <c r="G18">
        <v>67.38</v>
      </c>
      <c r="H18" t="s">
        <v>12</v>
      </c>
      <c r="I18">
        <v>-425.77949999999998</v>
      </c>
      <c r="J18">
        <v>16364120000</v>
      </c>
      <c r="K18">
        <v>75.2</v>
      </c>
      <c r="L18" t="s">
        <v>12</v>
      </c>
      <c r="M18">
        <v>144.32230000000001</v>
      </c>
      <c r="N18">
        <v>11233160000</v>
      </c>
      <c r="O18">
        <v>19.2042</v>
      </c>
      <c r="P18" t="s">
        <v>12</v>
      </c>
      <c r="Q18">
        <v>-102.0493</v>
      </c>
      <c r="R18">
        <v>17743470000</v>
      </c>
      <c r="S18">
        <v>58.04</v>
      </c>
      <c r="T18" t="s">
        <v>12</v>
      </c>
      <c r="U18">
        <v>-44.025599999999997</v>
      </c>
      <c r="V18">
        <v>12623720000</v>
      </c>
    </row>
    <row r="19" spans="2:22" x14ac:dyDescent="0.25">
      <c r="B19" s="1">
        <v>42613</v>
      </c>
      <c r="C19">
        <v>46.99</v>
      </c>
      <c r="D19" t="s">
        <v>12</v>
      </c>
      <c r="E19">
        <v>598.99170000000004</v>
      </c>
      <c r="F19">
        <v>7595586000</v>
      </c>
      <c r="G19">
        <v>68.510000000000005</v>
      </c>
      <c r="H19" t="s">
        <v>12</v>
      </c>
      <c r="I19">
        <v>895.72320000000002</v>
      </c>
      <c r="J19">
        <v>24231310000</v>
      </c>
      <c r="K19">
        <v>72.760000000000005</v>
      </c>
      <c r="L19" t="s">
        <v>12</v>
      </c>
      <c r="M19">
        <v>-29.1252</v>
      </c>
      <c r="N19">
        <v>12594010000</v>
      </c>
      <c r="O19">
        <v>19.943100000000001</v>
      </c>
      <c r="P19" t="s">
        <v>12</v>
      </c>
      <c r="Q19">
        <v>455.96969999999999</v>
      </c>
      <c r="R19">
        <v>15851010000</v>
      </c>
      <c r="S19">
        <v>58.59</v>
      </c>
      <c r="T19" t="s">
        <v>12</v>
      </c>
      <c r="U19">
        <v>687.04610000000002</v>
      </c>
      <c r="V19">
        <v>10665820000</v>
      </c>
    </row>
    <row r="20" spans="2:22" x14ac:dyDescent="0.25">
      <c r="B20" s="1">
        <v>42643</v>
      </c>
      <c r="C20">
        <v>47.78</v>
      </c>
      <c r="D20" t="s">
        <v>12</v>
      </c>
      <c r="E20">
        <v>-271.7765</v>
      </c>
      <c r="F20">
        <v>11735670000</v>
      </c>
      <c r="G20">
        <v>70.61</v>
      </c>
      <c r="H20" t="s">
        <v>12</v>
      </c>
      <c r="I20">
        <v>-308.8322</v>
      </c>
      <c r="J20">
        <v>27596490000</v>
      </c>
      <c r="K20">
        <v>72.11</v>
      </c>
      <c r="L20" t="s">
        <v>12</v>
      </c>
      <c r="M20">
        <v>-215.8954</v>
      </c>
      <c r="N20">
        <v>13099220000</v>
      </c>
      <c r="O20">
        <v>19.3</v>
      </c>
      <c r="P20" t="s">
        <v>12</v>
      </c>
      <c r="Q20">
        <v>-911.58389999999997</v>
      </c>
      <c r="R20">
        <v>24925170000</v>
      </c>
      <c r="S20">
        <v>58.38</v>
      </c>
      <c r="T20" t="s">
        <v>12</v>
      </c>
      <c r="U20">
        <v>-284.30189999999999</v>
      </c>
      <c r="V20">
        <v>14463270000</v>
      </c>
    </row>
    <row r="21" spans="2:22" x14ac:dyDescent="0.25">
      <c r="B21" s="1">
        <v>42674</v>
      </c>
      <c r="C21">
        <v>47.42</v>
      </c>
      <c r="D21" t="s">
        <v>12</v>
      </c>
      <c r="E21">
        <v>190.79859999999999</v>
      </c>
      <c r="F21">
        <v>6932800000</v>
      </c>
      <c r="G21">
        <v>68.62</v>
      </c>
      <c r="H21" t="s">
        <v>12</v>
      </c>
      <c r="I21">
        <v>592.94960000000003</v>
      </c>
      <c r="J21">
        <v>18591980000</v>
      </c>
      <c r="K21">
        <v>67.36</v>
      </c>
      <c r="L21" t="s">
        <v>12</v>
      </c>
      <c r="M21">
        <v>-345.79419999999999</v>
      </c>
      <c r="N21">
        <v>14203700000</v>
      </c>
      <c r="O21">
        <v>19.739999999999998</v>
      </c>
      <c r="P21" t="s">
        <v>12</v>
      </c>
      <c r="Q21">
        <v>861.93529999999998</v>
      </c>
      <c r="R21">
        <v>20928100000</v>
      </c>
      <c r="S21">
        <v>57.21</v>
      </c>
      <c r="T21" t="s">
        <v>12</v>
      </c>
      <c r="U21">
        <v>222.76300000000001</v>
      </c>
      <c r="V21">
        <v>11360630000</v>
      </c>
    </row>
    <row r="22" spans="2:22" x14ac:dyDescent="0.25">
      <c r="B22" s="1">
        <v>42704</v>
      </c>
      <c r="C22">
        <v>47.5</v>
      </c>
      <c r="D22" t="s">
        <v>12</v>
      </c>
      <c r="E22">
        <v>-55.791499999999999</v>
      </c>
      <c r="F22">
        <v>12080250000</v>
      </c>
      <c r="G22">
        <v>74.430000000000007</v>
      </c>
      <c r="H22" t="s">
        <v>12</v>
      </c>
      <c r="I22">
        <v>338.21210000000002</v>
      </c>
      <c r="J22">
        <v>26077400000</v>
      </c>
      <c r="K22">
        <v>68.75</v>
      </c>
      <c r="L22" t="s">
        <v>12</v>
      </c>
      <c r="M22">
        <v>2118.2328000000002</v>
      </c>
      <c r="N22">
        <v>22488600000</v>
      </c>
      <c r="O22">
        <v>22.51</v>
      </c>
      <c r="P22" t="s">
        <v>12</v>
      </c>
      <c r="Q22">
        <v>6025.8527999999997</v>
      </c>
      <c r="R22">
        <v>49117880000</v>
      </c>
      <c r="S22">
        <v>62.41</v>
      </c>
      <c r="T22" t="s">
        <v>12</v>
      </c>
      <c r="U22">
        <v>1884.9581000000001</v>
      </c>
      <c r="V22">
        <v>19986450000</v>
      </c>
    </row>
    <row r="23" spans="2:22" x14ac:dyDescent="0.25">
      <c r="B23" s="1">
        <v>42734</v>
      </c>
      <c r="C23">
        <v>48.36</v>
      </c>
      <c r="D23" t="s">
        <v>12</v>
      </c>
      <c r="E23">
        <v>835.56050000000005</v>
      </c>
      <c r="F23">
        <v>10054960000</v>
      </c>
      <c r="G23">
        <v>75.319999999999993</v>
      </c>
      <c r="H23" t="s">
        <v>12</v>
      </c>
      <c r="I23">
        <v>823.50900000000001</v>
      </c>
      <c r="J23">
        <v>22085680000</v>
      </c>
      <c r="K23">
        <v>68.94</v>
      </c>
      <c r="L23" t="s">
        <v>12</v>
      </c>
      <c r="M23">
        <v>-115.41330000000001</v>
      </c>
      <c r="N23">
        <v>11544720000</v>
      </c>
      <c r="O23">
        <v>23.25</v>
      </c>
      <c r="P23" t="s">
        <v>12</v>
      </c>
      <c r="Q23">
        <v>484.1078</v>
      </c>
      <c r="R23">
        <v>37979630000</v>
      </c>
      <c r="S23">
        <v>62.22</v>
      </c>
      <c r="T23" t="s">
        <v>12</v>
      </c>
      <c r="U23">
        <v>213.09700000000001</v>
      </c>
      <c r="V23">
        <v>12448240000</v>
      </c>
    </row>
    <row r="24" spans="2:22" x14ac:dyDescent="0.25">
      <c r="B24" s="1">
        <v>42766</v>
      </c>
      <c r="C24">
        <v>50.08</v>
      </c>
      <c r="D24" t="s">
        <v>12</v>
      </c>
      <c r="E24">
        <v>887.21130000000005</v>
      </c>
      <c r="F24">
        <v>7774487000</v>
      </c>
      <c r="G24">
        <v>72.900000000000006</v>
      </c>
      <c r="H24" t="s">
        <v>12</v>
      </c>
      <c r="I24">
        <v>282.36079999999998</v>
      </c>
      <c r="J24">
        <v>17022920000</v>
      </c>
      <c r="K24">
        <v>70.52</v>
      </c>
      <c r="L24" t="s">
        <v>12</v>
      </c>
      <c r="M24">
        <v>109.7269</v>
      </c>
      <c r="N24">
        <v>12192180000</v>
      </c>
      <c r="O24">
        <v>23.31</v>
      </c>
      <c r="P24" t="s">
        <v>12</v>
      </c>
      <c r="Q24">
        <v>185.96420000000001</v>
      </c>
      <c r="R24">
        <v>27419550000</v>
      </c>
      <c r="S24">
        <v>63.38</v>
      </c>
      <c r="T24" t="s">
        <v>12</v>
      </c>
      <c r="U24">
        <v>-113.9353</v>
      </c>
      <c r="V24">
        <v>14171930000</v>
      </c>
    </row>
    <row r="25" spans="2:22" x14ac:dyDescent="0.25">
      <c r="B25" s="1">
        <v>42794</v>
      </c>
      <c r="C25">
        <v>52.35</v>
      </c>
      <c r="D25" t="s">
        <v>12</v>
      </c>
      <c r="E25">
        <v>292.0856</v>
      </c>
      <c r="F25">
        <v>7050328000</v>
      </c>
      <c r="G25">
        <v>71.38</v>
      </c>
      <c r="H25" t="s">
        <v>12</v>
      </c>
      <c r="I25">
        <v>183.53460000000001</v>
      </c>
      <c r="J25">
        <v>17824660000</v>
      </c>
      <c r="K25">
        <v>74.989999999999995</v>
      </c>
      <c r="L25" t="s">
        <v>12</v>
      </c>
      <c r="M25">
        <v>1224.8341</v>
      </c>
      <c r="N25">
        <v>14163730000</v>
      </c>
      <c r="O25">
        <v>24.54</v>
      </c>
      <c r="P25" t="s">
        <v>12</v>
      </c>
      <c r="Q25">
        <v>1245.2369000000001</v>
      </c>
      <c r="R25">
        <v>27105710000</v>
      </c>
      <c r="S25">
        <v>65.86</v>
      </c>
      <c r="T25" t="s">
        <v>12</v>
      </c>
      <c r="U25">
        <v>371.50080000000003</v>
      </c>
      <c r="V25">
        <v>12829700000</v>
      </c>
    </row>
    <row r="26" spans="2:22" x14ac:dyDescent="0.25">
      <c r="B26" s="1">
        <v>42825</v>
      </c>
      <c r="C26">
        <v>53.31</v>
      </c>
      <c r="D26" t="s">
        <v>12</v>
      </c>
      <c r="E26">
        <v>221.63399999999999</v>
      </c>
      <c r="F26">
        <v>10138290000</v>
      </c>
      <c r="G26">
        <v>69.900000000000006</v>
      </c>
      <c r="H26" t="s">
        <v>12</v>
      </c>
      <c r="I26">
        <v>439.6576</v>
      </c>
      <c r="J26">
        <v>26789540000</v>
      </c>
      <c r="K26">
        <v>74.36</v>
      </c>
      <c r="L26" t="s">
        <v>12</v>
      </c>
      <c r="M26">
        <v>-114.9641</v>
      </c>
      <c r="N26">
        <v>15682530000</v>
      </c>
      <c r="O26">
        <v>23.73</v>
      </c>
      <c r="P26" t="s">
        <v>12</v>
      </c>
      <c r="Q26">
        <v>-535.63879999999995</v>
      </c>
      <c r="R26">
        <v>46541500000</v>
      </c>
      <c r="S26">
        <v>65.06</v>
      </c>
      <c r="T26" t="s">
        <v>12</v>
      </c>
      <c r="U26">
        <v>-168.12430000000001</v>
      </c>
      <c r="V26">
        <v>15707910000</v>
      </c>
    </row>
    <row r="27" spans="2:22" x14ac:dyDescent="0.25">
      <c r="B27" s="1">
        <v>42853</v>
      </c>
      <c r="C27">
        <v>54.38</v>
      </c>
      <c r="D27" t="s">
        <v>12</v>
      </c>
      <c r="E27">
        <v>-134.81319999999999</v>
      </c>
      <c r="F27">
        <v>8436114000</v>
      </c>
      <c r="G27">
        <v>67.84</v>
      </c>
      <c r="H27" t="s">
        <v>12</v>
      </c>
      <c r="I27">
        <v>-315.95359999999999</v>
      </c>
      <c r="J27">
        <v>19555150000</v>
      </c>
      <c r="K27">
        <v>75.5</v>
      </c>
      <c r="L27" t="s">
        <v>12</v>
      </c>
      <c r="M27">
        <v>-8.4540000000000006</v>
      </c>
      <c r="N27">
        <v>9046101000</v>
      </c>
      <c r="O27">
        <v>23.53</v>
      </c>
      <c r="P27" t="s">
        <v>12</v>
      </c>
      <c r="Q27">
        <v>-752.86990000000003</v>
      </c>
      <c r="R27">
        <v>36644870000</v>
      </c>
      <c r="S27">
        <v>66.34</v>
      </c>
      <c r="T27" t="s">
        <v>12</v>
      </c>
      <c r="U27">
        <v>280.1497</v>
      </c>
      <c r="V27">
        <v>11980720000</v>
      </c>
    </row>
    <row r="28" spans="2:22" x14ac:dyDescent="0.25">
      <c r="B28" s="1">
        <v>42886</v>
      </c>
      <c r="C28">
        <v>56.53</v>
      </c>
      <c r="D28" t="s">
        <v>12</v>
      </c>
      <c r="E28">
        <v>-483.79880000000003</v>
      </c>
      <c r="F28">
        <v>12405420000</v>
      </c>
      <c r="G28">
        <v>65.44</v>
      </c>
      <c r="H28" t="s">
        <v>12</v>
      </c>
      <c r="I28">
        <v>-59.6173</v>
      </c>
      <c r="J28">
        <v>22641070000</v>
      </c>
      <c r="K28">
        <v>76.08</v>
      </c>
      <c r="L28" t="s">
        <v>12</v>
      </c>
      <c r="M28">
        <v>-5.2266000000000004</v>
      </c>
      <c r="N28">
        <v>10015350000</v>
      </c>
      <c r="O28">
        <v>23.25</v>
      </c>
      <c r="P28" t="s">
        <v>12</v>
      </c>
      <c r="Q28">
        <v>-698.78599999999994</v>
      </c>
      <c r="R28">
        <v>35454360000</v>
      </c>
      <c r="S28">
        <v>67.52</v>
      </c>
      <c r="T28" t="s">
        <v>12</v>
      </c>
      <c r="U28">
        <v>-136.536</v>
      </c>
      <c r="V28">
        <v>12397300000</v>
      </c>
    </row>
    <row r="29" spans="2:22" x14ac:dyDescent="0.25">
      <c r="B29" s="1">
        <v>42916</v>
      </c>
      <c r="C29">
        <v>54.72</v>
      </c>
      <c r="D29" t="s">
        <v>12</v>
      </c>
      <c r="E29">
        <v>-565.26530000000002</v>
      </c>
      <c r="F29">
        <v>17834980000</v>
      </c>
      <c r="G29">
        <v>64.92</v>
      </c>
      <c r="H29" t="s">
        <v>12</v>
      </c>
      <c r="I29">
        <v>232.82249999999999</v>
      </c>
      <c r="J29">
        <v>26984290000</v>
      </c>
      <c r="K29">
        <v>79.239999999999995</v>
      </c>
      <c r="L29" t="s">
        <v>12</v>
      </c>
      <c r="M29">
        <v>679.89300000000003</v>
      </c>
      <c r="N29">
        <v>13968810000</v>
      </c>
      <c r="O29">
        <v>24.67</v>
      </c>
      <c r="P29" t="s">
        <v>12</v>
      </c>
      <c r="Q29">
        <v>1380.1262999999999</v>
      </c>
      <c r="R29">
        <v>40890410000</v>
      </c>
      <c r="S29">
        <v>68.11</v>
      </c>
      <c r="T29" t="s">
        <v>12</v>
      </c>
      <c r="U29">
        <v>-530.30060000000003</v>
      </c>
      <c r="V29">
        <v>15509770000</v>
      </c>
    </row>
    <row r="30" spans="2:22" x14ac:dyDescent="0.25">
      <c r="B30" s="1">
        <v>42947</v>
      </c>
      <c r="C30">
        <v>57.16</v>
      </c>
      <c r="D30" t="s">
        <v>12</v>
      </c>
      <c r="E30">
        <v>5.9405999999999999</v>
      </c>
      <c r="F30">
        <v>11655770000</v>
      </c>
      <c r="G30">
        <v>66.62</v>
      </c>
      <c r="H30" t="s">
        <v>12</v>
      </c>
      <c r="I30">
        <v>-442.05560000000003</v>
      </c>
      <c r="J30">
        <v>20379410000</v>
      </c>
      <c r="K30">
        <v>79.89</v>
      </c>
      <c r="L30" t="s">
        <v>12</v>
      </c>
      <c r="M30">
        <v>211.8741</v>
      </c>
      <c r="N30">
        <v>10769650000</v>
      </c>
      <c r="O30">
        <v>25.09</v>
      </c>
      <c r="P30" t="s">
        <v>12</v>
      </c>
      <c r="Q30">
        <v>988.95129999999995</v>
      </c>
      <c r="R30">
        <v>27759800000</v>
      </c>
      <c r="S30">
        <v>68.31</v>
      </c>
      <c r="T30" t="s">
        <v>12</v>
      </c>
      <c r="U30">
        <v>-319.34989999999999</v>
      </c>
      <c r="V30">
        <v>9686501000</v>
      </c>
    </row>
    <row r="31" spans="2:22" x14ac:dyDescent="0.25">
      <c r="B31" s="1">
        <v>42978</v>
      </c>
      <c r="C31">
        <v>58.83</v>
      </c>
      <c r="D31" t="s">
        <v>12</v>
      </c>
      <c r="E31">
        <v>-2.2566000000000002</v>
      </c>
      <c r="F31">
        <v>12708360000</v>
      </c>
      <c r="G31">
        <v>62.97</v>
      </c>
      <c r="H31" t="s">
        <v>12</v>
      </c>
      <c r="I31">
        <v>-326.91000000000003</v>
      </c>
      <c r="J31">
        <v>18099050000</v>
      </c>
      <c r="K31">
        <v>81.290000000000006</v>
      </c>
      <c r="L31" t="s">
        <v>12</v>
      </c>
      <c r="M31">
        <v>-657.63940000000002</v>
      </c>
      <c r="N31">
        <v>11106220000</v>
      </c>
      <c r="O31">
        <v>24.7</v>
      </c>
      <c r="P31" t="s">
        <v>12</v>
      </c>
      <c r="Q31">
        <v>-471.09019999999998</v>
      </c>
      <c r="R31">
        <v>27177850000</v>
      </c>
      <c r="S31">
        <v>68.459999999999994</v>
      </c>
      <c r="T31" t="s">
        <v>12</v>
      </c>
      <c r="U31">
        <v>1094.1794</v>
      </c>
      <c r="V31">
        <v>14725720000</v>
      </c>
    </row>
    <row r="32" spans="2:22" x14ac:dyDescent="0.25">
      <c r="B32" s="1">
        <v>43007</v>
      </c>
      <c r="C32">
        <v>59.1</v>
      </c>
      <c r="D32" t="s">
        <v>12</v>
      </c>
      <c r="E32">
        <v>209.21190000000001</v>
      </c>
      <c r="F32">
        <v>10011260000</v>
      </c>
      <c r="G32">
        <v>68.48</v>
      </c>
      <c r="H32" t="s">
        <v>12</v>
      </c>
      <c r="I32">
        <v>588.28309999999999</v>
      </c>
      <c r="J32">
        <v>17192890000</v>
      </c>
      <c r="K32">
        <v>81.73</v>
      </c>
      <c r="L32" t="s">
        <v>12</v>
      </c>
      <c r="M32">
        <v>101.90770000000001</v>
      </c>
      <c r="N32">
        <v>10836920000</v>
      </c>
      <c r="O32">
        <v>25.86</v>
      </c>
      <c r="P32" t="s">
        <v>12</v>
      </c>
      <c r="Q32">
        <v>1214.4849999999999</v>
      </c>
      <c r="R32">
        <v>29074510000</v>
      </c>
      <c r="S32">
        <v>71</v>
      </c>
      <c r="T32" t="s">
        <v>12</v>
      </c>
      <c r="U32">
        <v>-997.00450000000001</v>
      </c>
      <c r="V32">
        <v>11656760000</v>
      </c>
    </row>
    <row r="33" spans="2:22" x14ac:dyDescent="0.25">
      <c r="B33" s="1">
        <v>43039</v>
      </c>
      <c r="C33">
        <v>62.95</v>
      </c>
      <c r="D33" t="s">
        <v>12</v>
      </c>
      <c r="E33">
        <v>174.75819999999999</v>
      </c>
      <c r="F33">
        <v>9928411000</v>
      </c>
      <c r="G33">
        <v>67.91</v>
      </c>
      <c r="H33" t="s">
        <v>12</v>
      </c>
      <c r="I33">
        <v>233.477</v>
      </c>
      <c r="J33">
        <v>14589980000</v>
      </c>
      <c r="K33">
        <v>81.11</v>
      </c>
      <c r="L33" t="s">
        <v>12</v>
      </c>
      <c r="M33">
        <v>-342.53710000000001</v>
      </c>
      <c r="N33">
        <v>11877660000</v>
      </c>
      <c r="O33">
        <v>26.6</v>
      </c>
      <c r="P33" t="s">
        <v>12</v>
      </c>
      <c r="Q33">
        <v>952.15359999999998</v>
      </c>
      <c r="R33">
        <v>28368120000</v>
      </c>
      <c r="S33">
        <v>71.53</v>
      </c>
      <c r="T33" t="s">
        <v>12</v>
      </c>
      <c r="U33">
        <v>1437.2701999999999</v>
      </c>
      <c r="V33">
        <v>14252610000</v>
      </c>
    </row>
    <row r="34" spans="2:22" x14ac:dyDescent="0.25">
      <c r="B34" s="1">
        <v>43069</v>
      </c>
      <c r="C34">
        <v>63.84</v>
      </c>
      <c r="D34" t="s">
        <v>12</v>
      </c>
      <c r="E34">
        <v>-489.82330000000002</v>
      </c>
      <c r="F34">
        <v>13024250000</v>
      </c>
      <c r="G34">
        <v>69.099999999999994</v>
      </c>
      <c r="H34" t="s">
        <v>12</v>
      </c>
      <c r="I34">
        <v>-409.4221</v>
      </c>
      <c r="J34">
        <v>17994530000</v>
      </c>
      <c r="K34">
        <v>83.47</v>
      </c>
      <c r="L34" t="s">
        <v>12</v>
      </c>
      <c r="M34">
        <v>-307.94690000000003</v>
      </c>
      <c r="N34">
        <v>10660180000</v>
      </c>
      <c r="O34">
        <v>27.52</v>
      </c>
      <c r="P34" t="s">
        <v>12</v>
      </c>
      <c r="Q34">
        <v>1305.5485000000001</v>
      </c>
      <c r="R34">
        <v>32469680000</v>
      </c>
      <c r="S34">
        <v>74.510000000000005</v>
      </c>
      <c r="T34" t="s">
        <v>12</v>
      </c>
      <c r="U34">
        <v>400.22789999999998</v>
      </c>
      <c r="V34">
        <v>11817750000</v>
      </c>
    </row>
    <row r="35" spans="2:22" x14ac:dyDescent="0.25">
      <c r="B35" s="1">
        <v>43098</v>
      </c>
      <c r="C35">
        <v>63.95</v>
      </c>
      <c r="D35" t="s">
        <v>12</v>
      </c>
      <c r="E35">
        <v>358.32089999999999</v>
      </c>
      <c r="F35">
        <v>14605060000</v>
      </c>
      <c r="G35">
        <v>72.260000000000005</v>
      </c>
      <c r="H35" t="s">
        <v>12</v>
      </c>
      <c r="I35">
        <v>770.06039999999996</v>
      </c>
      <c r="J35">
        <v>15587260000</v>
      </c>
      <c r="K35">
        <v>82.68</v>
      </c>
      <c r="L35" t="s">
        <v>12</v>
      </c>
      <c r="M35">
        <v>-717.2971</v>
      </c>
      <c r="N35">
        <v>11503780000</v>
      </c>
      <c r="O35">
        <v>27.91</v>
      </c>
      <c r="P35" t="s">
        <v>12</v>
      </c>
      <c r="Q35">
        <v>740.19719999999995</v>
      </c>
      <c r="R35">
        <v>36962770000</v>
      </c>
      <c r="S35">
        <v>75.67</v>
      </c>
      <c r="T35" t="s">
        <v>12</v>
      </c>
      <c r="U35">
        <v>-1200.7517</v>
      </c>
      <c r="V35">
        <v>14243720000</v>
      </c>
    </row>
    <row r="36" spans="2:22" x14ac:dyDescent="0.25">
      <c r="B36" s="1">
        <v>43131</v>
      </c>
      <c r="C36">
        <v>68.45</v>
      </c>
      <c r="D36" t="s">
        <v>12</v>
      </c>
      <c r="E36">
        <v>1271.116</v>
      </c>
      <c r="F36">
        <v>18017270000</v>
      </c>
      <c r="G36">
        <v>74.849999999999994</v>
      </c>
      <c r="H36" t="s">
        <v>12</v>
      </c>
      <c r="I36">
        <v>836.92660000000001</v>
      </c>
      <c r="J36">
        <v>22546520000</v>
      </c>
      <c r="K36">
        <v>88.1</v>
      </c>
      <c r="L36" t="s">
        <v>12</v>
      </c>
      <c r="M36">
        <v>-142.45079999999999</v>
      </c>
      <c r="N36">
        <v>15536310000</v>
      </c>
      <c r="O36">
        <v>29.74</v>
      </c>
      <c r="P36" t="s">
        <v>12</v>
      </c>
      <c r="Q36">
        <v>-309.22399999999999</v>
      </c>
      <c r="R36">
        <v>32192660000</v>
      </c>
      <c r="S36">
        <v>79.73</v>
      </c>
      <c r="T36" t="s">
        <v>12</v>
      </c>
      <c r="U36">
        <v>1821.9972</v>
      </c>
      <c r="V36">
        <v>19239030000</v>
      </c>
    </row>
    <row r="37" spans="2:22" x14ac:dyDescent="0.25">
      <c r="B37" s="1">
        <v>43159</v>
      </c>
      <c r="C37">
        <v>68.17</v>
      </c>
      <c r="D37" t="s">
        <v>12</v>
      </c>
      <c r="E37">
        <v>-1221.8353999999999</v>
      </c>
      <c r="F37">
        <v>24846500000</v>
      </c>
      <c r="G37">
        <v>66.739999999999995</v>
      </c>
      <c r="H37" t="s">
        <v>12</v>
      </c>
      <c r="I37">
        <v>-303.33580000000001</v>
      </c>
      <c r="J37">
        <v>27312620000</v>
      </c>
      <c r="K37">
        <v>84.14</v>
      </c>
      <c r="L37" t="s">
        <v>12</v>
      </c>
      <c r="M37">
        <v>-1015.2198</v>
      </c>
      <c r="N37">
        <v>22294560000</v>
      </c>
      <c r="O37">
        <v>28.87</v>
      </c>
      <c r="P37" t="s">
        <v>12</v>
      </c>
      <c r="Q37">
        <v>-352.61500000000001</v>
      </c>
      <c r="R37">
        <v>43164100000</v>
      </c>
      <c r="S37">
        <v>76.650000000000006</v>
      </c>
      <c r="T37" t="s">
        <v>12</v>
      </c>
      <c r="U37">
        <v>-1421.7742000000001</v>
      </c>
      <c r="V37">
        <v>24877220000</v>
      </c>
    </row>
    <row r="38" spans="2:22" x14ac:dyDescent="0.25">
      <c r="B38" s="1">
        <v>43189</v>
      </c>
      <c r="C38">
        <v>65.42</v>
      </c>
      <c r="D38" t="s">
        <v>12</v>
      </c>
      <c r="E38">
        <v>700.25739999999996</v>
      </c>
      <c r="F38">
        <v>22899350000</v>
      </c>
      <c r="G38">
        <v>67.41</v>
      </c>
      <c r="H38" t="s">
        <v>12</v>
      </c>
      <c r="I38">
        <v>-29.388500000000001</v>
      </c>
      <c r="J38">
        <v>20092490000</v>
      </c>
      <c r="K38">
        <v>81.400000000000006</v>
      </c>
      <c r="L38" t="s">
        <v>12</v>
      </c>
      <c r="M38">
        <v>83.057599999999994</v>
      </c>
      <c r="N38">
        <v>15164670000</v>
      </c>
      <c r="O38">
        <v>27.57</v>
      </c>
      <c r="P38" t="s">
        <v>12</v>
      </c>
      <c r="Q38">
        <v>444.19540000000001</v>
      </c>
      <c r="R38">
        <v>37037260000</v>
      </c>
      <c r="S38">
        <v>74.290000000000006</v>
      </c>
      <c r="T38" t="s">
        <v>12</v>
      </c>
      <c r="U38">
        <v>109.0868</v>
      </c>
      <c r="V38">
        <v>24481290000</v>
      </c>
    </row>
    <row r="39" spans="2:22" x14ac:dyDescent="0.25">
      <c r="B39" s="1">
        <v>43220</v>
      </c>
      <c r="C39">
        <v>65.459999999999994</v>
      </c>
      <c r="D39" t="s">
        <v>12</v>
      </c>
      <c r="E39">
        <v>-545.8673</v>
      </c>
      <c r="F39">
        <v>20372440000</v>
      </c>
      <c r="G39">
        <v>73.81</v>
      </c>
      <c r="H39" t="s">
        <v>12</v>
      </c>
      <c r="I39">
        <v>-590.44939999999997</v>
      </c>
      <c r="J39">
        <v>23158880000</v>
      </c>
      <c r="K39">
        <v>82.26</v>
      </c>
      <c r="L39" t="s">
        <v>12</v>
      </c>
      <c r="M39">
        <v>-134.73240000000001</v>
      </c>
      <c r="N39">
        <v>13303840000</v>
      </c>
      <c r="O39">
        <v>27.45</v>
      </c>
      <c r="P39" t="s">
        <v>12</v>
      </c>
      <c r="Q39">
        <v>10.4603</v>
      </c>
      <c r="R39">
        <v>34205820000</v>
      </c>
      <c r="S39">
        <v>72.22</v>
      </c>
      <c r="T39" t="s">
        <v>12</v>
      </c>
      <c r="U39">
        <v>-276.85239999999999</v>
      </c>
      <c r="V39">
        <v>22884440000</v>
      </c>
    </row>
    <row r="40" spans="2:22" x14ac:dyDescent="0.25">
      <c r="B40" s="1">
        <v>43251</v>
      </c>
      <c r="C40">
        <v>69.900000000000006</v>
      </c>
      <c r="D40" t="s">
        <v>12</v>
      </c>
      <c r="E40">
        <v>399.36829999999998</v>
      </c>
      <c r="F40">
        <v>18613910000</v>
      </c>
      <c r="G40">
        <v>76.02</v>
      </c>
      <c r="H40" t="s">
        <v>12</v>
      </c>
      <c r="I40">
        <v>42.590600000000002</v>
      </c>
      <c r="J40">
        <v>27949030000</v>
      </c>
      <c r="K40">
        <v>82.41</v>
      </c>
      <c r="L40" t="s">
        <v>12</v>
      </c>
      <c r="M40">
        <v>-195.18950000000001</v>
      </c>
      <c r="N40">
        <v>16768170000</v>
      </c>
      <c r="O40">
        <v>27.18</v>
      </c>
      <c r="P40" t="s">
        <v>12</v>
      </c>
      <c r="Q40">
        <v>98.468900000000005</v>
      </c>
      <c r="R40">
        <v>29367510000</v>
      </c>
      <c r="S40">
        <v>74.44</v>
      </c>
      <c r="T40" t="s">
        <v>12</v>
      </c>
      <c r="U40">
        <v>329.60950000000003</v>
      </c>
      <c r="V40">
        <v>19245500000</v>
      </c>
    </row>
    <row r="41" spans="2:22" x14ac:dyDescent="0.25">
      <c r="B41" s="1">
        <v>43280</v>
      </c>
      <c r="C41">
        <v>69.47</v>
      </c>
      <c r="D41" t="s">
        <v>12</v>
      </c>
      <c r="E41">
        <v>145.517</v>
      </c>
      <c r="F41">
        <v>20587680000</v>
      </c>
      <c r="G41">
        <v>75.94</v>
      </c>
      <c r="H41" t="s">
        <v>12</v>
      </c>
      <c r="I41">
        <v>419.12209999999999</v>
      </c>
      <c r="J41">
        <v>23239440000</v>
      </c>
      <c r="K41">
        <v>83.46</v>
      </c>
      <c r="L41" t="s">
        <v>12</v>
      </c>
      <c r="M41">
        <v>-250.8596</v>
      </c>
      <c r="N41">
        <v>13509370000</v>
      </c>
      <c r="O41">
        <v>26.59</v>
      </c>
      <c r="P41" t="s">
        <v>12</v>
      </c>
      <c r="Q41">
        <v>-1417.6421</v>
      </c>
      <c r="R41">
        <v>34897960000</v>
      </c>
      <c r="S41">
        <v>71.63</v>
      </c>
      <c r="T41" t="s">
        <v>12</v>
      </c>
      <c r="U41">
        <v>-548.90129999999999</v>
      </c>
      <c r="V41">
        <v>18155600000</v>
      </c>
    </row>
    <row r="42" spans="2:22" x14ac:dyDescent="0.25">
      <c r="B42" s="1">
        <v>43312</v>
      </c>
      <c r="C42">
        <v>70.92</v>
      </c>
      <c r="D42" t="s">
        <v>12</v>
      </c>
      <c r="E42">
        <v>533.47080000000005</v>
      </c>
      <c r="F42">
        <v>18059560000</v>
      </c>
      <c r="G42">
        <v>77.12</v>
      </c>
      <c r="H42" t="s">
        <v>12</v>
      </c>
      <c r="I42">
        <v>-371.1189</v>
      </c>
      <c r="J42">
        <v>18899950000</v>
      </c>
      <c r="K42">
        <v>88.93</v>
      </c>
      <c r="L42" t="s">
        <v>12</v>
      </c>
      <c r="M42">
        <v>941.94730000000004</v>
      </c>
      <c r="N42">
        <v>11525910000</v>
      </c>
      <c r="O42">
        <v>27.95</v>
      </c>
      <c r="P42" t="s">
        <v>12</v>
      </c>
      <c r="Q42">
        <v>-27.708100000000002</v>
      </c>
      <c r="R42">
        <v>32868600000</v>
      </c>
      <c r="S42">
        <v>76.92</v>
      </c>
      <c r="T42" t="s">
        <v>12</v>
      </c>
      <c r="U42">
        <v>769.23739999999998</v>
      </c>
      <c r="V42">
        <v>18555130000</v>
      </c>
    </row>
    <row r="43" spans="2:22" x14ac:dyDescent="0.25">
      <c r="B43" s="1">
        <v>43343</v>
      </c>
      <c r="C43">
        <v>75.599999999999994</v>
      </c>
      <c r="D43" t="s">
        <v>12</v>
      </c>
      <c r="E43">
        <v>-321.96409999999997</v>
      </c>
      <c r="F43">
        <v>16812580000</v>
      </c>
      <c r="G43">
        <v>74.44</v>
      </c>
      <c r="H43" t="s">
        <v>12</v>
      </c>
      <c r="I43">
        <v>-550.87480000000005</v>
      </c>
      <c r="J43">
        <v>19026740000</v>
      </c>
      <c r="K43">
        <v>92.78</v>
      </c>
      <c r="L43" t="s">
        <v>12</v>
      </c>
      <c r="M43">
        <v>527.18730000000005</v>
      </c>
      <c r="N43">
        <v>11728720000</v>
      </c>
      <c r="O43">
        <v>28.33</v>
      </c>
      <c r="P43" t="s">
        <v>12</v>
      </c>
      <c r="Q43">
        <v>185.84880000000001</v>
      </c>
      <c r="R43">
        <v>28137810000</v>
      </c>
      <c r="S43">
        <v>77.099999999999994</v>
      </c>
      <c r="T43" t="s">
        <v>12</v>
      </c>
      <c r="U43">
        <v>-325.0059</v>
      </c>
      <c r="V43">
        <v>17291440000</v>
      </c>
    </row>
    <row r="44" spans="2:22" x14ac:dyDescent="0.25">
      <c r="B44" s="1">
        <v>43371</v>
      </c>
      <c r="C44">
        <v>75.33</v>
      </c>
      <c r="D44" t="s">
        <v>12</v>
      </c>
      <c r="E44">
        <v>-662.01369999999997</v>
      </c>
      <c r="F44">
        <v>19606840000</v>
      </c>
      <c r="G44">
        <v>75.739999999999995</v>
      </c>
      <c r="H44" t="s">
        <v>12</v>
      </c>
      <c r="I44">
        <v>62.961599999999997</v>
      </c>
      <c r="J44">
        <v>17315390000</v>
      </c>
      <c r="K44">
        <v>95.15</v>
      </c>
      <c r="L44" t="s">
        <v>12</v>
      </c>
      <c r="M44">
        <v>860.9796</v>
      </c>
      <c r="N44">
        <v>12112460000</v>
      </c>
      <c r="O44">
        <v>27.58</v>
      </c>
      <c r="P44" t="s">
        <v>12</v>
      </c>
      <c r="Q44">
        <v>222.10239999999999</v>
      </c>
      <c r="R44">
        <v>25349170000</v>
      </c>
      <c r="S44">
        <v>78.400000000000006</v>
      </c>
      <c r="T44" t="s">
        <v>12</v>
      </c>
      <c r="U44">
        <v>-395.9853</v>
      </c>
      <c r="V44">
        <v>14668200000</v>
      </c>
    </row>
    <row r="45" spans="2:22" x14ac:dyDescent="0.25">
      <c r="B45" s="1">
        <v>43404</v>
      </c>
      <c r="C45">
        <v>69.3</v>
      </c>
      <c r="D45" t="s">
        <v>12</v>
      </c>
      <c r="E45">
        <v>-1501.0071</v>
      </c>
      <c r="F45">
        <v>42408400000</v>
      </c>
      <c r="G45">
        <v>67.16</v>
      </c>
      <c r="H45" t="s">
        <v>12</v>
      </c>
      <c r="I45">
        <v>-731.14459999999997</v>
      </c>
      <c r="J45">
        <v>31083400000</v>
      </c>
      <c r="K45">
        <v>88.7</v>
      </c>
      <c r="L45" t="s">
        <v>12</v>
      </c>
      <c r="M45">
        <v>-267.42570000000001</v>
      </c>
      <c r="N45">
        <v>31374640000</v>
      </c>
      <c r="O45">
        <v>26.28</v>
      </c>
      <c r="P45" t="s">
        <v>12</v>
      </c>
      <c r="Q45">
        <v>-775.98699999999997</v>
      </c>
      <c r="R45">
        <v>52170710000</v>
      </c>
      <c r="S45">
        <v>69.88</v>
      </c>
      <c r="T45" t="s">
        <v>12</v>
      </c>
      <c r="U45">
        <v>-387.32990000000001</v>
      </c>
      <c r="V45">
        <v>33950450000</v>
      </c>
    </row>
    <row r="46" spans="2:22" x14ac:dyDescent="0.25">
      <c r="B46" s="1">
        <v>43434</v>
      </c>
      <c r="C46">
        <v>67.94</v>
      </c>
      <c r="D46" t="s">
        <v>12</v>
      </c>
      <c r="E46">
        <v>-278.95769999999999</v>
      </c>
      <c r="F46">
        <v>22603120000</v>
      </c>
      <c r="G46">
        <v>66.11</v>
      </c>
      <c r="H46" t="s">
        <v>12</v>
      </c>
      <c r="I46">
        <v>109.23099999999999</v>
      </c>
      <c r="J46">
        <v>26848570000</v>
      </c>
      <c r="K46">
        <v>95.87</v>
      </c>
      <c r="L46" t="s">
        <v>12</v>
      </c>
      <c r="M46">
        <v>747.31759999999997</v>
      </c>
      <c r="N46">
        <v>19692530000</v>
      </c>
      <c r="O46">
        <v>26.97</v>
      </c>
      <c r="P46" t="s">
        <v>12</v>
      </c>
      <c r="Q46">
        <v>-217.69909999999999</v>
      </c>
      <c r="R46">
        <v>34250650000</v>
      </c>
      <c r="S46">
        <v>72.540000000000006</v>
      </c>
      <c r="T46" t="s">
        <v>12</v>
      </c>
      <c r="U46">
        <v>-113.2525</v>
      </c>
      <c r="V46">
        <v>23806560000</v>
      </c>
    </row>
    <row r="47" spans="2:22" x14ac:dyDescent="0.25">
      <c r="B47" s="1">
        <v>43465</v>
      </c>
      <c r="C47">
        <v>61.98</v>
      </c>
      <c r="D47" t="s">
        <v>12</v>
      </c>
      <c r="E47">
        <v>36.519399999999997</v>
      </c>
      <c r="F47">
        <v>27029330000</v>
      </c>
      <c r="G47">
        <v>57.35</v>
      </c>
      <c r="H47" t="s">
        <v>12</v>
      </c>
      <c r="I47">
        <v>-55.311100000000003</v>
      </c>
      <c r="J47">
        <v>28864350000</v>
      </c>
      <c r="K47">
        <v>86.51</v>
      </c>
      <c r="L47" t="s">
        <v>12</v>
      </c>
      <c r="M47">
        <v>-218.94409999999999</v>
      </c>
      <c r="N47">
        <v>29097950000</v>
      </c>
      <c r="O47">
        <v>23.82</v>
      </c>
      <c r="P47" t="s">
        <v>12</v>
      </c>
      <c r="Q47">
        <v>-3106.1772999999998</v>
      </c>
      <c r="R47">
        <v>42912000000</v>
      </c>
      <c r="S47">
        <v>64.41</v>
      </c>
      <c r="T47" t="s">
        <v>12</v>
      </c>
      <c r="U47">
        <v>-506.49369999999999</v>
      </c>
      <c r="V47">
        <v>24210500000</v>
      </c>
    </row>
    <row r="48" spans="2:22" x14ac:dyDescent="0.25">
      <c r="B48" s="1">
        <v>43496</v>
      </c>
      <c r="C48">
        <v>66.28</v>
      </c>
      <c r="D48" t="s">
        <v>12</v>
      </c>
      <c r="E48">
        <v>-718.39350000000002</v>
      </c>
      <c r="F48">
        <v>17511490000</v>
      </c>
      <c r="G48">
        <v>63.78</v>
      </c>
      <c r="H48" t="s">
        <v>12</v>
      </c>
      <c r="I48">
        <v>-1778.3207</v>
      </c>
      <c r="J48">
        <v>20526020000</v>
      </c>
      <c r="K48">
        <v>90.67</v>
      </c>
      <c r="L48" t="s">
        <v>12</v>
      </c>
      <c r="M48">
        <v>95.023899999999998</v>
      </c>
      <c r="N48">
        <v>20233660000</v>
      </c>
      <c r="O48">
        <v>25.94</v>
      </c>
      <c r="P48" t="s">
        <v>12</v>
      </c>
      <c r="Q48">
        <v>-495.6687</v>
      </c>
      <c r="R48">
        <v>30473200000</v>
      </c>
      <c r="S48">
        <v>71.77</v>
      </c>
      <c r="T48" t="s">
        <v>12</v>
      </c>
      <c r="U48">
        <v>-479.66430000000003</v>
      </c>
      <c r="V48">
        <v>21331160000</v>
      </c>
    </row>
    <row r="49" spans="2:22" x14ac:dyDescent="0.25">
      <c r="B49" s="1">
        <v>43524</v>
      </c>
      <c r="C49">
        <v>70.86</v>
      </c>
      <c r="D49" t="s">
        <v>12</v>
      </c>
      <c r="E49">
        <v>194.75890000000001</v>
      </c>
      <c r="F49">
        <v>13844330000</v>
      </c>
      <c r="G49">
        <v>65.25</v>
      </c>
      <c r="H49" t="s">
        <v>12</v>
      </c>
      <c r="I49">
        <v>-3.8519999999999999</v>
      </c>
      <c r="J49">
        <v>13638030000</v>
      </c>
      <c r="K49">
        <v>91.65</v>
      </c>
      <c r="L49" t="s">
        <v>12</v>
      </c>
      <c r="M49">
        <v>25.305</v>
      </c>
      <c r="N49">
        <v>13569980000</v>
      </c>
      <c r="O49">
        <v>26.52</v>
      </c>
      <c r="P49" t="s">
        <v>12</v>
      </c>
      <c r="Q49">
        <v>-862.8125</v>
      </c>
      <c r="R49">
        <v>21030640000</v>
      </c>
      <c r="S49">
        <v>76.34</v>
      </c>
      <c r="T49" t="s">
        <v>12</v>
      </c>
      <c r="U49">
        <v>-278.80450000000002</v>
      </c>
      <c r="V49">
        <v>14447770000</v>
      </c>
    </row>
    <row r="50" spans="2:22" x14ac:dyDescent="0.25">
      <c r="B50" s="1">
        <v>43553</v>
      </c>
      <c r="C50">
        <v>74</v>
      </c>
      <c r="D50" t="s">
        <v>12</v>
      </c>
      <c r="E50">
        <v>-527.15020000000004</v>
      </c>
      <c r="F50">
        <v>24586080000</v>
      </c>
      <c r="G50">
        <v>66.12</v>
      </c>
      <c r="H50" t="s">
        <v>12</v>
      </c>
      <c r="I50">
        <v>211.7193</v>
      </c>
      <c r="J50">
        <v>20183600000</v>
      </c>
      <c r="K50">
        <v>91.75</v>
      </c>
      <c r="L50" t="s">
        <v>12</v>
      </c>
      <c r="M50">
        <v>195.09389999999999</v>
      </c>
      <c r="N50">
        <v>20097050000</v>
      </c>
      <c r="O50">
        <v>25.71</v>
      </c>
      <c r="P50" t="s">
        <v>12</v>
      </c>
      <c r="Q50">
        <v>-1485.8307</v>
      </c>
      <c r="R50">
        <v>33602900000</v>
      </c>
      <c r="S50">
        <v>75.03</v>
      </c>
      <c r="T50" t="s">
        <v>12</v>
      </c>
      <c r="U50">
        <v>-183.56469999999999</v>
      </c>
      <c r="V50">
        <v>21870920000</v>
      </c>
    </row>
    <row r="51" spans="2:22" x14ac:dyDescent="0.25">
      <c r="B51" s="1">
        <v>43585</v>
      </c>
      <c r="C51">
        <v>78.709999999999994</v>
      </c>
      <c r="D51" t="s">
        <v>12</v>
      </c>
      <c r="E51">
        <v>-4.4549000000000003</v>
      </c>
      <c r="F51">
        <v>17962630000</v>
      </c>
      <c r="G51">
        <v>66.11</v>
      </c>
      <c r="H51" t="s">
        <v>12</v>
      </c>
      <c r="I51">
        <v>-307.7192</v>
      </c>
      <c r="J51">
        <v>16981870000</v>
      </c>
      <c r="K51">
        <v>89.26</v>
      </c>
      <c r="L51" t="s">
        <v>12</v>
      </c>
      <c r="M51">
        <v>-774.2645</v>
      </c>
      <c r="N51">
        <v>25316560000</v>
      </c>
      <c r="O51">
        <v>28.02</v>
      </c>
      <c r="P51" t="s">
        <v>12</v>
      </c>
      <c r="Q51">
        <v>1834.1986999999999</v>
      </c>
      <c r="R51">
        <v>28893840000</v>
      </c>
      <c r="S51">
        <v>78.010000000000005</v>
      </c>
      <c r="T51" t="s">
        <v>12</v>
      </c>
      <c r="U51">
        <v>113.2234</v>
      </c>
      <c r="V51">
        <v>16786590000</v>
      </c>
    </row>
    <row r="52" spans="2:22" x14ac:dyDescent="0.25">
      <c r="B52" s="1">
        <v>43616</v>
      </c>
      <c r="C52">
        <v>71.89</v>
      </c>
      <c r="D52" t="s">
        <v>12</v>
      </c>
      <c r="E52">
        <v>1016.0326</v>
      </c>
      <c r="F52">
        <v>27142960000</v>
      </c>
      <c r="G52">
        <v>58.77</v>
      </c>
      <c r="H52" t="s">
        <v>12</v>
      </c>
      <c r="I52">
        <v>-1310.8004000000001</v>
      </c>
      <c r="J52">
        <v>20974910000</v>
      </c>
      <c r="K52">
        <v>87.28</v>
      </c>
      <c r="L52" t="s">
        <v>12</v>
      </c>
      <c r="M52">
        <v>-770.89380000000006</v>
      </c>
      <c r="N52">
        <v>29591450000</v>
      </c>
      <c r="O52">
        <v>26.01</v>
      </c>
      <c r="P52" t="s">
        <v>12</v>
      </c>
      <c r="Q52">
        <v>-1127.175</v>
      </c>
      <c r="R52">
        <v>28135900000</v>
      </c>
      <c r="S52">
        <v>72.05</v>
      </c>
      <c r="T52" t="s">
        <v>12</v>
      </c>
      <c r="U52">
        <v>-578.3492</v>
      </c>
      <c r="V52">
        <v>22611080000</v>
      </c>
    </row>
    <row r="53" spans="2:22" x14ac:dyDescent="0.25">
      <c r="B53" s="1">
        <v>43644</v>
      </c>
      <c r="C53">
        <v>78.040000000000006</v>
      </c>
      <c r="D53" t="s">
        <v>12</v>
      </c>
      <c r="E53">
        <v>-893.98080000000004</v>
      </c>
      <c r="F53">
        <v>19204500000</v>
      </c>
      <c r="G53">
        <v>63.71</v>
      </c>
      <c r="H53" t="s">
        <v>12</v>
      </c>
      <c r="I53">
        <v>564.75779999999997</v>
      </c>
      <c r="J53">
        <v>18057430000</v>
      </c>
      <c r="K53">
        <v>92.64</v>
      </c>
      <c r="L53" t="s">
        <v>12</v>
      </c>
      <c r="M53">
        <v>336.87799999999999</v>
      </c>
      <c r="N53">
        <v>19235120000</v>
      </c>
      <c r="O53">
        <v>27.6</v>
      </c>
      <c r="P53" t="s">
        <v>12</v>
      </c>
      <c r="Q53">
        <v>245.84569999999999</v>
      </c>
      <c r="R53">
        <v>24965070000</v>
      </c>
      <c r="S53">
        <v>77.42</v>
      </c>
      <c r="T53" t="s">
        <v>12</v>
      </c>
      <c r="U53">
        <v>390.4941</v>
      </c>
      <c r="V53">
        <v>15780850000</v>
      </c>
    </row>
    <row r="54" spans="2:22" x14ac:dyDescent="0.25">
      <c r="B54" s="1">
        <v>43677</v>
      </c>
      <c r="C54">
        <v>80.77</v>
      </c>
      <c r="D54" t="s">
        <v>12</v>
      </c>
      <c r="E54">
        <v>598.62270000000001</v>
      </c>
      <c r="F54">
        <v>15813270000</v>
      </c>
      <c r="G54">
        <v>62.7</v>
      </c>
      <c r="H54" t="s">
        <v>12</v>
      </c>
      <c r="I54">
        <v>-147.3535</v>
      </c>
      <c r="J54">
        <v>14249460000</v>
      </c>
      <c r="K54">
        <v>91.14</v>
      </c>
      <c r="L54" t="s">
        <v>12</v>
      </c>
      <c r="M54">
        <v>-793.73720000000003</v>
      </c>
      <c r="N54">
        <v>15402340000</v>
      </c>
      <c r="O54">
        <v>28.25</v>
      </c>
      <c r="P54" t="s">
        <v>12</v>
      </c>
      <c r="Q54">
        <v>213.5094</v>
      </c>
      <c r="R54">
        <v>23231330000</v>
      </c>
      <c r="S54">
        <v>77.819999999999993</v>
      </c>
      <c r="T54" t="s">
        <v>12</v>
      </c>
      <c r="U54">
        <v>-273.32839999999999</v>
      </c>
      <c r="V54">
        <v>14394440000</v>
      </c>
    </row>
    <row r="55" spans="2:22" x14ac:dyDescent="0.25">
      <c r="B55" s="1">
        <v>43707</v>
      </c>
      <c r="C55">
        <v>79.53</v>
      </c>
      <c r="D55" t="s">
        <v>12</v>
      </c>
      <c r="E55">
        <v>160.5496</v>
      </c>
      <c r="F55">
        <v>26311460000</v>
      </c>
      <c r="G55">
        <v>57.48</v>
      </c>
      <c r="H55" t="s">
        <v>12</v>
      </c>
      <c r="I55">
        <v>-986.19150000000002</v>
      </c>
      <c r="J55">
        <v>22233740000</v>
      </c>
      <c r="K55">
        <v>90.6</v>
      </c>
      <c r="L55" t="s">
        <v>12</v>
      </c>
      <c r="M55">
        <v>-340.40179999999998</v>
      </c>
      <c r="N55">
        <v>19464170000</v>
      </c>
      <c r="O55">
        <v>26.92</v>
      </c>
      <c r="P55" t="s">
        <v>12</v>
      </c>
      <c r="Q55">
        <v>-2821.4982</v>
      </c>
      <c r="R55">
        <v>35638360000</v>
      </c>
      <c r="S55">
        <v>75.760000000000005</v>
      </c>
      <c r="T55" t="s">
        <v>12</v>
      </c>
      <c r="U55">
        <v>-361.23680000000002</v>
      </c>
      <c r="V55">
        <v>19286890000</v>
      </c>
    </row>
    <row r="56" spans="2:22" x14ac:dyDescent="0.25">
      <c r="B56" s="1">
        <v>43738</v>
      </c>
      <c r="C56">
        <v>80.53</v>
      </c>
      <c r="D56" t="s">
        <v>12</v>
      </c>
      <c r="E56">
        <v>299.63889999999998</v>
      </c>
      <c r="F56">
        <v>17575570000</v>
      </c>
      <c r="G56">
        <v>59.2</v>
      </c>
      <c r="H56" t="s">
        <v>12</v>
      </c>
      <c r="I56">
        <v>-217.9494</v>
      </c>
      <c r="J56">
        <v>21264700000</v>
      </c>
      <c r="K56">
        <v>90.13</v>
      </c>
      <c r="L56" t="s">
        <v>12</v>
      </c>
      <c r="M56">
        <v>52.739100000000001</v>
      </c>
      <c r="N56">
        <v>14691330000</v>
      </c>
      <c r="O56">
        <v>28</v>
      </c>
      <c r="P56" t="s">
        <v>12</v>
      </c>
      <c r="Q56">
        <v>525.16430000000003</v>
      </c>
      <c r="R56">
        <v>30912510000</v>
      </c>
      <c r="S56">
        <v>77.63</v>
      </c>
      <c r="T56" t="s">
        <v>12</v>
      </c>
      <c r="U56">
        <v>-61.586799999999997</v>
      </c>
      <c r="V56">
        <v>15824640000</v>
      </c>
    </row>
    <row r="57" spans="2:22" x14ac:dyDescent="0.25">
      <c r="B57" s="1">
        <v>43769</v>
      </c>
      <c r="C57">
        <v>83.67</v>
      </c>
      <c r="D57" t="s">
        <v>12</v>
      </c>
      <c r="E57">
        <v>112.29640000000001</v>
      </c>
      <c r="F57">
        <v>19333400000</v>
      </c>
      <c r="G57">
        <v>57.96</v>
      </c>
      <c r="H57" t="s">
        <v>12</v>
      </c>
      <c r="I57">
        <v>203.9307</v>
      </c>
      <c r="J57">
        <v>18933940000</v>
      </c>
      <c r="K57">
        <v>94.75</v>
      </c>
      <c r="L57" t="s">
        <v>12</v>
      </c>
      <c r="M57">
        <v>423.32130000000001</v>
      </c>
      <c r="N57">
        <v>18909680000</v>
      </c>
      <c r="O57">
        <v>28.7</v>
      </c>
      <c r="P57" t="s">
        <v>12</v>
      </c>
      <c r="Q57">
        <v>1160.4744000000001</v>
      </c>
      <c r="R57">
        <v>32150640000</v>
      </c>
      <c r="S57">
        <v>78.510000000000005</v>
      </c>
      <c r="T57" t="s">
        <v>12</v>
      </c>
      <c r="U57">
        <v>42.506300000000003</v>
      </c>
      <c r="V57">
        <v>17438330000</v>
      </c>
    </row>
    <row r="58" spans="2:22" x14ac:dyDescent="0.25">
      <c r="B58" s="1">
        <v>43798</v>
      </c>
      <c r="C58">
        <v>88.16</v>
      </c>
      <c r="D58" t="s">
        <v>12</v>
      </c>
      <c r="E58">
        <v>911.02380000000005</v>
      </c>
      <c r="F58">
        <v>14147910000</v>
      </c>
      <c r="G58">
        <v>58.89</v>
      </c>
      <c r="H58" t="s">
        <v>12</v>
      </c>
      <c r="I58">
        <v>-27.0214</v>
      </c>
      <c r="J58">
        <v>15863490000</v>
      </c>
      <c r="K58">
        <v>99.49</v>
      </c>
      <c r="L58" t="s">
        <v>12</v>
      </c>
      <c r="M58">
        <v>150.40049999999999</v>
      </c>
      <c r="N58">
        <v>18429360000</v>
      </c>
      <c r="O58">
        <v>30.15</v>
      </c>
      <c r="P58" t="s">
        <v>12</v>
      </c>
      <c r="Q58">
        <v>943.87059999999997</v>
      </c>
      <c r="R58">
        <v>22861190000</v>
      </c>
      <c r="S58">
        <v>82.04</v>
      </c>
      <c r="T58" t="s">
        <v>12</v>
      </c>
      <c r="U58">
        <v>517.77629999999999</v>
      </c>
      <c r="V58">
        <v>15207910000</v>
      </c>
    </row>
    <row r="59" spans="2:22" x14ac:dyDescent="0.25">
      <c r="B59" s="1">
        <v>43830</v>
      </c>
      <c r="C59">
        <v>91.67</v>
      </c>
      <c r="D59" t="s">
        <v>12</v>
      </c>
      <c r="E59">
        <v>-57.189599999999999</v>
      </c>
      <c r="F59">
        <v>15102870000</v>
      </c>
      <c r="G59">
        <v>60.04</v>
      </c>
      <c r="H59" t="s">
        <v>12</v>
      </c>
      <c r="I59">
        <v>676.2808</v>
      </c>
      <c r="J59">
        <v>17127540000</v>
      </c>
      <c r="K59">
        <v>101.86</v>
      </c>
      <c r="L59" t="s">
        <v>12</v>
      </c>
      <c r="M59">
        <v>472.88229999999999</v>
      </c>
      <c r="N59">
        <v>12521640000</v>
      </c>
      <c r="O59">
        <v>30.78</v>
      </c>
      <c r="P59" t="s">
        <v>12</v>
      </c>
      <c r="Q59">
        <v>-2574.4286999999999</v>
      </c>
      <c r="R59">
        <v>24950450000</v>
      </c>
      <c r="S59">
        <v>81.47</v>
      </c>
      <c r="T59" t="s">
        <v>12</v>
      </c>
      <c r="U59">
        <v>-373.87900000000002</v>
      </c>
      <c r="V59">
        <v>16524940000</v>
      </c>
    </row>
    <row r="60" spans="2:22" x14ac:dyDescent="0.25">
      <c r="B60" s="1">
        <v>43861</v>
      </c>
      <c r="C60">
        <v>95.33</v>
      </c>
      <c r="D60" t="s">
        <v>12</v>
      </c>
      <c r="E60">
        <v>-432.45690000000002</v>
      </c>
      <c r="F60">
        <v>20418370000</v>
      </c>
      <c r="G60">
        <v>53.44</v>
      </c>
      <c r="H60" t="s">
        <v>12</v>
      </c>
      <c r="I60">
        <v>-695.4511</v>
      </c>
      <c r="J60">
        <v>20212330000</v>
      </c>
      <c r="K60">
        <v>99.14</v>
      </c>
      <c r="L60" t="s">
        <v>12</v>
      </c>
      <c r="M60">
        <v>-102.5022</v>
      </c>
      <c r="N60">
        <v>18182660000</v>
      </c>
      <c r="O60">
        <v>29.96</v>
      </c>
      <c r="P60" t="s">
        <v>12</v>
      </c>
      <c r="Q60">
        <v>625.74900000000002</v>
      </c>
      <c r="R60">
        <v>25801510000</v>
      </c>
      <c r="S60">
        <v>81.11</v>
      </c>
      <c r="T60" t="s">
        <v>12</v>
      </c>
      <c r="U60">
        <v>1197.6258</v>
      </c>
      <c r="V60">
        <v>21287590000</v>
      </c>
    </row>
    <row r="61" spans="2:22" x14ac:dyDescent="0.25">
      <c r="B61" s="1">
        <v>43889</v>
      </c>
      <c r="C61">
        <v>88.37</v>
      </c>
      <c r="D61" t="s">
        <v>12</v>
      </c>
      <c r="E61">
        <v>-300.5505</v>
      </c>
      <c r="F61">
        <v>29061400000</v>
      </c>
      <c r="G61">
        <v>45.27</v>
      </c>
      <c r="H61" t="s">
        <v>12</v>
      </c>
      <c r="I61">
        <v>979.88289999999995</v>
      </c>
      <c r="J61">
        <v>24637340000</v>
      </c>
      <c r="K61">
        <v>92.61</v>
      </c>
      <c r="L61" t="s">
        <v>12</v>
      </c>
      <c r="M61">
        <v>515.43740000000003</v>
      </c>
      <c r="N61">
        <v>20546940000</v>
      </c>
      <c r="O61">
        <v>26.59</v>
      </c>
      <c r="P61" t="s">
        <v>12</v>
      </c>
      <c r="Q61">
        <v>-1925.9183</v>
      </c>
      <c r="R61">
        <v>33150050000</v>
      </c>
      <c r="S61">
        <v>73.08</v>
      </c>
      <c r="T61" t="s">
        <v>12</v>
      </c>
      <c r="U61">
        <v>-1269.703</v>
      </c>
      <c r="V61">
        <v>27000920000</v>
      </c>
    </row>
    <row r="62" spans="2:22" x14ac:dyDescent="0.25">
      <c r="B62" s="1">
        <v>43921</v>
      </c>
      <c r="C62">
        <v>80.37</v>
      </c>
      <c r="D62" t="s">
        <v>12</v>
      </c>
      <c r="E62">
        <v>1096.5325</v>
      </c>
      <c r="F62">
        <v>62794130000</v>
      </c>
      <c r="G62">
        <v>29.06</v>
      </c>
      <c r="H62" t="s">
        <v>12</v>
      </c>
      <c r="I62">
        <v>1417.7416000000001</v>
      </c>
      <c r="J62">
        <v>31686480000</v>
      </c>
      <c r="K62">
        <v>88.58</v>
      </c>
      <c r="L62" t="s">
        <v>12</v>
      </c>
      <c r="M62">
        <v>906.04330000000004</v>
      </c>
      <c r="N62">
        <v>43352250000</v>
      </c>
      <c r="O62">
        <v>20.82</v>
      </c>
      <c r="P62" t="s">
        <v>12</v>
      </c>
      <c r="Q62">
        <v>-1086.511</v>
      </c>
      <c r="R62">
        <v>68136990000</v>
      </c>
      <c r="S62">
        <v>59.01</v>
      </c>
      <c r="T62" t="s">
        <v>12</v>
      </c>
      <c r="U62">
        <v>-413.85219999999998</v>
      </c>
      <c r="V62">
        <v>37343970000</v>
      </c>
    </row>
    <row r="63" spans="2:22" x14ac:dyDescent="0.25">
      <c r="B63" s="1">
        <v>43951</v>
      </c>
      <c r="C63">
        <v>91.41</v>
      </c>
      <c r="D63" t="s">
        <v>12</v>
      </c>
      <c r="E63">
        <v>303.73590000000002</v>
      </c>
      <c r="F63">
        <v>26429420000</v>
      </c>
      <c r="G63">
        <v>38</v>
      </c>
      <c r="H63" t="s">
        <v>12</v>
      </c>
      <c r="I63">
        <v>1024.7013999999999</v>
      </c>
      <c r="J63">
        <v>30715320000</v>
      </c>
      <c r="K63">
        <v>99.73</v>
      </c>
      <c r="L63" t="s">
        <v>12</v>
      </c>
      <c r="M63">
        <v>3323.5506</v>
      </c>
      <c r="N63">
        <v>25791100000</v>
      </c>
      <c r="O63">
        <v>22.79</v>
      </c>
      <c r="P63" t="s">
        <v>12</v>
      </c>
      <c r="Q63">
        <v>1176.6306999999999</v>
      </c>
      <c r="R63">
        <v>33537040000</v>
      </c>
      <c r="S63">
        <v>64.209999999999994</v>
      </c>
      <c r="T63" t="s">
        <v>12</v>
      </c>
      <c r="U63">
        <v>47.597999999999999</v>
      </c>
      <c r="V63">
        <v>18139460000</v>
      </c>
    </row>
    <row r="64" spans="2:22" x14ac:dyDescent="0.25">
      <c r="B64" s="1">
        <v>43980</v>
      </c>
      <c r="C64">
        <v>97.97</v>
      </c>
      <c r="D64" t="s">
        <v>12</v>
      </c>
      <c r="E64">
        <v>568.74220000000003</v>
      </c>
      <c r="F64">
        <v>22423730000</v>
      </c>
      <c r="G64">
        <v>38.76</v>
      </c>
      <c r="H64" t="s">
        <v>12</v>
      </c>
      <c r="I64">
        <v>139.6574</v>
      </c>
      <c r="J64">
        <v>22020330000</v>
      </c>
      <c r="K64">
        <v>103.01</v>
      </c>
      <c r="L64" t="s">
        <v>12</v>
      </c>
      <c r="M64">
        <v>1463.8662999999999</v>
      </c>
      <c r="N64">
        <v>24425950000</v>
      </c>
      <c r="O64">
        <v>23.41</v>
      </c>
      <c r="P64" t="s">
        <v>12</v>
      </c>
      <c r="Q64">
        <v>-57.377800000000001</v>
      </c>
      <c r="R64">
        <v>30862370000</v>
      </c>
      <c r="S64">
        <v>67.67</v>
      </c>
      <c r="T64" t="s">
        <v>12</v>
      </c>
      <c r="U64">
        <v>289.93509999999998</v>
      </c>
      <c r="V64">
        <v>15807870000</v>
      </c>
    </row>
    <row r="65" spans="2:22" x14ac:dyDescent="0.25">
      <c r="B65" s="1">
        <v>44012</v>
      </c>
      <c r="C65">
        <v>104.49</v>
      </c>
      <c r="D65" t="s">
        <v>12</v>
      </c>
      <c r="E65">
        <v>111.8627</v>
      </c>
      <c r="F65">
        <v>26569880000</v>
      </c>
      <c r="G65">
        <v>37.85</v>
      </c>
      <c r="H65" t="s">
        <v>12</v>
      </c>
      <c r="I65">
        <v>526.01239999999996</v>
      </c>
      <c r="J65">
        <v>27570030000</v>
      </c>
      <c r="K65">
        <v>100.07</v>
      </c>
      <c r="L65" t="s">
        <v>12</v>
      </c>
      <c r="M65">
        <v>-2805.4083999999998</v>
      </c>
      <c r="N65">
        <v>27270570000</v>
      </c>
      <c r="O65">
        <v>23.14</v>
      </c>
      <c r="P65" t="s">
        <v>12</v>
      </c>
      <c r="Q65">
        <v>-1003.7338</v>
      </c>
      <c r="R65">
        <v>49154220000</v>
      </c>
      <c r="S65">
        <v>68.7</v>
      </c>
      <c r="T65" t="s">
        <v>12</v>
      </c>
      <c r="U65">
        <v>1153.8629000000001</v>
      </c>
      <c r="V65">
        <v>23987480000</v>
      </c>
    </row>
    <row r="66" spans="2:22" x14ac:dyDescent="0.25">
      <c r="B66" s="1">
        <v>44043</v>
      </c>
      <c r="C66">
        <v>110.43</v>
      </c>
      <c r="D66" t="s">
        <v>12</v>
      </c>
      <c r="E66">
        <v>-419.3526</v>
      </c>
      <c r="F66">
        <v>22636680000</v>
      </c>
      <c r="G66">
        <v>36.03</v>
      </c>
      <c r="H66" t="s">
        <v>12</v>
      </c>
      <c r="I66">
        <v>26.593299999999999</v>
      </c>
      <c r="J66">
        <v>19339060000</v>
      </c>
      <c r="K66">
        <v>105.53</v>
      </c>
      <c r="L66" t="s">
        <v>12</v>
      </c>
      <c r="M66">
        <v>-495.84769999999997</v>
      </c>
      <c r="N66">
        <v>17003190000</v>
      </c>
      <c r="O66">
        <v>24.03</v>
      </c>
      <c r="P66" t="s">
        <v>12</v>
      </c>
      <c r="Q66">
        <v>-189.53319999999999</v>
      </c>
      <c r="R66">
        <v>30612750000</v>
      </c>
      <c r="S66">
        <v>71.73</v>
      </c>
      <c r="T66" t="s">
        <v>12</v>
      </c>
      <c r="U66">
        <v>151.50219999999999</v>
      </c>
      <c r="V66">
        <v>15202770000</v>
      </c>
    </row>
    <row r="67" spans="2:22" x14ac:dyDescent="0.25">
      <c r="B67" s="1">
        <v>44074</v>
      </c>
      <c r="C67">
        <v>123.55</v>
      </c>
      <c r="D67" t="s">
        <v>12</v>
      </c>
      <c r="E67">
        <v>572.41240000000005</v>
      </c>
      <c r="F67">
        <v>19181180000</v>
      </c>
      <c r="G67">
        <v>35.65</v>
      </c>
      <c r="H67" t="s">
        <v>12</v>
      </c>
      <c r="I67">
        <v>239.9451</v>
      </c>
      <c r="J67">
        <v>15504180000</v>
      </c>
      <c r="K67">
        <v>108.26</v>
      </c>
      <c r="L67" t="s">
        <v>12</v>
      </c>
      <c r="M67">
        <v>159.47659999999999</v>
      </c>
      <c r="N67">
        <v>13213300000</v>
      </c>
      <c r="O67">
        <v>25.06</v>
      </c>
      <c r="P67" t="s">
        <v>12</v>
      </c>
      <c r="Q67">
        <v>966.69949999999994</v>
      </c>
      <c r="R67">
        <v>24376430000</v>
      </c>
      <c r="S67">
        <v>77.81</v>
      </c>
      <c r="T67" t="s">
        <v>12</v>
      </c>
      <c r="U67">
        <v>788.77620000000002</v>
      </c>
      <c r="V67">
        <v>15727660000</v>
      </c>
    </row>
    <row r="68" spans="2:22" x14ac:dyDescent="0.25">
      <c r="B68" s="1">
        <v>44104</v>
      </c>
      <c r="C68">
        <v>116.7</v>
      </c>
      <c r="D68" t="s">
        <v>12</v>
      </c>
      <c r="E68">
        <v>-1490.806</v>
      </c>
      <c r="F68">
        <v>39108410000</v>
      </c>
      <c r="G68">
        <v>29.95</v>
      </c>
      <c r="H68" t="s">
        <v>12</v>
      </c>
      <c r="I68">
        <v>-102.9914</v>
      </c>
      <c r="J68">
        <v>19634450000</v>
      </c>
      <c r="K68">
        <v>105.48</v>
      </c>
      <c r="L68" t="s">
        <v>12</v>
      </c>
      <c r="M68">
        <v>-198.23589999999999</v>
      </c>
      <c r="N68">
        <v>18618880000</v>
      </c>
      <c r="O68">
        <v>24.07</v>
      </c>
      <c r="P68" t="s">
        <v>12</v>
      </c>
      <c r="Q68">
        <v>-1151.2445</v>
      </c>
      <c r="R68">
        <v>32584210000</v>
      </c>
      <c r="S68">
        <v>76.98</v>
      </c>
      <c r="T68" t="s">
        <v>12</v>
      </c>
      <c r="U68">
        <v>830.45270000000005</v>
      </c>
      <c r="V68">
        <v>23160010000</v>
      </c>
    </row>
    <row r="69" spans="2:22" x14ac:dyDescent="0.25">
      <c r="B69" s="1">
        <v>44134</v>
      </c>
      <c r="C69">
        <v>110.86</v>
      </c>
      <c r="D69" t="s">
        <v>12</v>
      </c>
      <c r="E69">
        <v>363.03230000000002</v>
      </c>
      <c r="F69">
        <v>23444210000</v>
      </c>
      <c r="G69">
        <v>28.72</v>
      </c>
      <c r="H69" t="s">
        <v>12</v>
      </c>
      <c r="I69">
        <v>523.57640000000004</v>
      </c>
      <c r="J69">
        <v>17916230000</v>
      </c>
      <c r="K69">
        <v>101.66</v>
      </c>
      <c r="L69" t="s">
        <v>12</v>
      </c>
      <c r="M69">
        <v>-630.37649999999996</v>
      </c>
      <c r="N69">
        <v>17902980000</v>
      </c>
      <c r="O69">
        <v>23.86</v>
      </c>
      <c r="P69" t="s">
        <v>12</v>
      </c>
      <c r="Q69">
        <v>660.96320000000003</v>
      </c>
      <c r="R69">
        <v>30344660000</v>
      </c>
      <c r="S69">
        <v>75.87</v>
      </c>
      <c r="T69" t="s">
        <v>12</v>
      </c>
      <c r="U69">
        <v>90.4499</v>
      </c>
      <c r="V69">
        <v>19847150000</v>
      </c>
    </row>
    <row r="70" spans="2:22" x14ac:dyDescent="0.25">
      <c r="B70" s="1">
        <v>44165</v>
      </c>
      <c r="C70">
        <v>123.48</v>
      </c>
      <c r="D70" t="s">
        <v>12</v>
      </c>
      <c r="E70">
        <v>496.09570000000002</v>
      </c>
      <c r="F70">
        <v>21152350000</v>
      </c>
      <c r="G70">
        <v>36.76</v>
      </c>
      <c r="H70" t="s">
        <v>12</v>
      </c>
      <c r="I70">
        <v>977.69299999999998</v>
      </c>
      <c r="J70">
        <v>29163410000</v>
      </c>
      <c r="K70">
        <v>109.74</v>
      </c>
      <c r="L70" t="s">
        <v>12</v>
      </c>
      <c r="M70">
        <v>659.93610000000001</v>
      </c>
      <c r="N70">
        <v>23993720000</v>
      </c>
      <c r="O70">
        <v>27.88</v>
      </c>
      <c r="P70" t="s">
        <v>12</v>
      </c>
      <c r="Q70">
        <v>2173.3020000000001</v>
      </c>
      <c r="R70">
        <v>35495640000</v>
      </c>
      <c r="S70">
        <v>88.03</v>
      </c>
      <c r="T70" t="s">
        <v>12</v>
      </c>
      <c r="U70">
        <v>1755.6283000000001</v>
      </c>
      <c r="V70">
        <v>21588630000</v>
      </c>
    </row>
    <row r="71" spans="2:22" x14ac:dyDescent="0.25">
      <c r="B71" s="1">
        <v>44196</v>
      </c>
      <c r="C71">
        <v>130.02000000000001</v>
      </c>
      <c r="D71" t="s">
        <v>12</v>
      </c>
      <c r="E71">
        <v>-756.92010000000005</v>
      </c>
      <c r="F71">
        <v>16553430000</v>
      </c>
      <c r="G71">
        <v>37.9</v>
      </c>
      <c r="H71" t="s">
        <v>12</v>
      </c>
      <c r="I71">
        <v>1385.4648</v>
      </c>
      <c r="J71">
        <v>26540920000</v>
      </c>
      <c r="K71">
        <v>113.44</v>
      </c>
      <c r="L71" t="s">
        <v>12</v>
      </c>
      <c r="M71">
        <v>-43.732199999999999</v>
      </c>
      <c r="N71">
        <v>16212720000</v>
      </c>
      <c r="O71">
        <v>29.48</v>
      </c>
      <c r="P71" t="s">
        <v>12</v>
      </c>
      <c r="Q71">
        <v>1324.7672</v>
      </c>
      <c r="R71">
        <v>26738940000</v>
      </c>
      <c r="S71">
        <v>88.55</v>
      </c>
      <c r="T71" t="s">
        <v>12</v>
      </c>
      <c r="U71">
        <v>388.11739999999998</v>
      </c>
      <c r="V71">
        <v>16618990000</v>
      </c>
    </row>
    <row r="72" spans="2:22" x14ac:dyDescent="0.25">
      <c r="B72" s="1">
        <v>44225</v>
      </c>
      <c r="C72">
        <v>128.93</v>
      </c>
      <c r="D72" t="s">
        <v>12</v>
      </c>
      <c r="E72">
        <v>-333.09769999999997</v>
      </c>
      <c r="F72">
        <v>19494330000</v>
      </c>
      <c r="G72">
        <v>39.32</v>
      </c>
      <c r="H72" t="s">
        <v>12</v>
      </c>
      <c r="I72">
        <v>1226.6333</v>
      </c>
      <c r="J72">
        <v>27195030000</v>
      </c>
      <c r="K72">
        <v>115.03</v>
      </c>
      <c r="L72" t="s">
        <v>12</v>
      </c>
      <c r="M72">
        <v>-647.08489999999995</v>
      </c>
      <c r="N72">
        <v>20086380000</v>
      </c>
      <c r="O72">
        <v>28.95</v>
      </c>
      <c r="P72" t="s">
        <v>12</v>
      </c>
      <c r="Q72">
        <v>4155.4862999999996</v>
      </c>
      <c r="R72">
        <v>35815350000</v>
      </c>
      <c r="S72">
        <v>84.77</v>
      </c>
      <c r="T72" t="s">
        <v>12</v>
      </c>
      <c r="U72">
        <v>-295.7079</v>
      </c>
      <c r="V72">
        <v>22496460000</v>
      </c>
    </row>
    <row r="73" spans="2:22" x14ac:dyDescent="0.25">
      <c r="B73" s="1">
        <v>44253</v>
      </c>
      <c r="C73">
        <v>130.69</v>
      </c>
      <c r="D73" t="s">
        <v>12</v>
      </c>
      <c r="E73">
        <v>-351.6979</v>
      </c>
      <c r="F73">
        <v>17897060000</v>
      </c>
      <c r="G73">
        <v>48.15</v>
      </c>
      <c r="H73" t="s">
        <v>12</v>
      </c>
      <c r="I73">
        <v>1475.3684000000001</v>
      </c>
      <c r="J73">
        <v>28485120000</v>
      </c>
      <c r="K73">
        <v>112.61</v>
      </c>
      <c r="L73" t="s">
        <v>12</v>
      </c>
      <c r="M73">
        <v>-793.43830000000003</v>
      </c>
      <c r="N73">
        <v>18623800000</v>
      </c>
      <c r="O73">
        <v>32.31</v>
      </c>
      <c r="P73" t="s">
        <v>12</v>
      </c>
      <c r="Q73">
        <v>2878.9427999999998</v>
      </c>
      <c r="R73">
        <v>34678170000</v>
      </c>
      <c r="S73">
        <v>90.61</v>
      </c>
      <c r="T73" t="s">
        <v>12</v>
      </c>
      <c r="U73">
        <v>552.85310000000004</v>
      </c>
      <c r="V73">
        <v>18346760000</v>
      </c>
    </row>
    <row r="74" spans="2:22" x14ac:dyDescent="0.25">
      <c r="B74" s="1">
        <v>44286</v>
      </c>
      <c r="C74">
        <v>132.81</v>
      </c>
      <c r="D74" t="s">
        <v>12</v>
      </c>
      <c r="E74">
        <v>20.001000000000001</v>
      </c>
      <c r="F74">
        <v>34211050000</v>
      </c>
      <c r="G74">
        <v>49.06</v>
      </c>
      <c r="H74" t="s">
        <v>12</v>
      </c>
      <c r="I74">
        <v>1694.4226000000001</v>
      </c>
      <c r="J74">
        <v>45019730000</v>
      </c>
      <c r="K74">
        <v>116.74</v>
      </c>
      <c r="L74" t="s">
        <v>12</v>
      </c>
      <c r="M74">
        <v>-276.54820000000001</v>
      </c>
      <c r="N74">
        <v>26920690000</v>
      </c>
      <c r="O74">
        <v>34.049999999999997</v>
      </c>
      <c r="P74" t="s">
        <v>12</v>
      </c>
      <c r="Q74">
        <v>2197.1012000000001</v>
      </c>
      <c r="R74">
        <v>57030700000</v>
      </c>
      <c r="S74">
        <v>98.45</v>
      </c>
      <c r="T74" t="s">
        <v>12</v>
      </c>
      <c r="U74">
        <v>1752.1795</v>
      </c>
      <c r="V74">
        <v>32988740000</v>
      </c>
    </row>
    <row r="75" spans="2:22" x14ac:dyDescent="0.25">
      <c r="B75" s="1">
        <v>44316</v>
      </c>
      <c r="C75">
        <v>139.69999999999999</v>
      </c>
      <c r="D75" t="s">
        <v>12</v>
      </c>
      <c r="E75">
        <v>-108.9118</v>
      </c>
      <c r="F75">
        <v>16642810000</v>
      </c>
      <c r="G75">
        <v>49.39</v>
      </c>
      <c r="H75" t="s">
        <v>12</v>
      </c>
      <c r="I75">
        <v>443.28570000000002</v>
      </c>
      <c r="J75">
        <v>27026200000</v>
      </c>
      <c r="K75">
        <v>121.33</v>
      </c>
      <c r="L75" t="s">
        <v>12</v>
      </c>
      <c r="M75">
        <v>73.330299999999994</v>
      </c>
      <c r="N75">
        <v>17785950000</v>
      </c>
      <c r="O75">
        <v>36.26</v>
      </c>
      <c r="P75" t="s">
        <v>12</v>
      </c>
      <c r="Q75">
        <v>336.4504</v>
      </c>
      <c r="R75">
        <v>32539190000</v>
      </c>
      <c r="S75">
        <v>101.93</v>
      </c>
      <c r="T75" t="s">
        <v>12</v>
      </c>
      <c r="U75">
        <v>-143.4205</v>
      </c>
      <c r="V75">
        <v>21306110000</v>
      </c>
    </row>
    <row r="76" spans="2:22" x14ac:dyDescent="0.25">
      <c r="B76" s="1">
        <v>44347</v>
      </c>
      <c r="C76">
        <v>138.4</v>
      </c>
      <c r="D76" t="s">
        <v>12</v>
      </c>
      <c r="E76">
        <v>-338.69729999999998</v>
      </c>
      <c r="F76">
        <v>23075130000</v>
      </c>
      <c r="G76">
        <v>52.21</v>
      </c>
      <c r="H76" t="s">
        <v>12</v>
      </c>
      <c r="I76">
        <v>159.1694</v>
      </c>
      <c r="J76">
        <v>32772800000</v>
      </c>
      <c r="K76">
        <v>123.6</v>
      </c>
      <c r="L76" t="s">
        <v>12</v>
      </c>
      <c r="M76">
        <v>1583.3715</v>
      </c>
      <c r="N76">
        <v>24253680000</v>
      </c>
      <c r="O76">
        <v>37.99</v>
      </c>
      <c r="P76" t="s">
        <v>12</v>
      </c>
      <c r="Q76">
        <v>1585.6316999999999</v>
      </c>
      <c r="R76">
        <v>38449500000</v>
      </c>
      <c r="S76">
        <v>105.12</v>
      </c>
      <c r="T76" t="s">
        <v>12</v>
      </c>
      <c r="U76">
        <v>-313.70209999999997</v>
      </c>
      <c r="V76">
        <v>27279840000</v>
      </c>
    </row>
    <row r="77" spans="2:22" x14ac:dyDescent="0.25">
      <c r="B77" s="1">
        <v>44377</v>
      </c>
      <c r="C77">
        <v>147.66</v>
      </c>
      <c r="D77" t="s">
        <v>12</v>
      </c>
      <c r="E77">
        <v>413.77839999999998</v>
      </c>
      <c r="F77">
        <v>19439860000</v>
      </c>
      <c r="G77">
        <v>53.87</v>
      </c>
      <c r="H77" t="s">
        <v>12</v>
      </c>
      <c r="I77">
        <v>280.54000000000002</v>
      </c>
      <c r="J77">
        <v>35083730000</v>
      </c>
      <c r="K77">
        <v>125.95</v>
      </c>
      <c r="L77" t="s">
        <v>12</v>
      </c>
      <c r="M77">
        <v>-22.4939</v>
      </c>
      <c r="N77">
        <v>24136870000</v>
      </c>
      <c r="O77">
        <v>36.69</v>
      </c>
      <c r="P77" t="s">
        <v>12</v>
      </c>
      <c r="Q77">
        <v>-2484.3227999999999</v>
      </c>
      <c r="R77">
        <v>47671970000</v>
      </c>
      <c r="S77">
        <v>102.4</v>
      </c>
      <c r="T77" t="s">
        <v>12</v>
      </c>
      <c r="U77">
        <v>-1087.9522999999999</v>
      </c>
      <c r="V77">
        <v>26356670000</v>
      </c>
    </row>
    <row r="78" spans="2:22" x14ac:dyDescent="0.25">
      <c r="B78" s="1">
        <v>44407</v>
      </c>
      <c r="C78">
        <v>153.4</v>
      </c>
      <c r="D78" t="s">
        <v>12</v>
      </c>
      <c r="E78">
        <v>486.15269999999998</v>
      </c>
      <c r="F78">
        <v>21165380000</v>
      </c>
      <c r="G78">
        <v>49.39</v>
      </c>
      <c r="H78" t="s">
        <v>12</v>
      </c>
      <c r="I78">
        <v>-513.94029999999998</v>
      </c>
      <c r="J78">
        <v>30185570000</v>
      </c>
      <c r="K78">
        <v>132.15</v>
      </c>
      <c r="L78" t="s">
        <v>12</v>
      </c>
      <c r="M78">
        <v>2577.6421</v>
      </c>
      <c r="N78">
        <v>26513650000</v>
      </c>
      <c r="O78">
        <v>36.520000000000003</v>
      </c>
      <c r="P78" t="s">
        <v>12</v>
      </c>
      <c r="Q78">
        <v>-1215.3743999999999</v>
      </c>
      <c r="R78">
        <v>39356390000</v>
      </c>
      <c r="S78">
        <v>103.36</v>
      </c>
      <c r="T78" t="s">
        <v>12</v>
      </c>
      <c r="U78">
        <v>28.065100000000001</v>
      </c>
      <c r="V78">
        <v>28035460000</v>
      </c>
    </row>
    <row r="79" spans="2:22" x14ac:dyDescent="0.25">
      <c r="B79" s="1">
        <v>44439</v>
      </c>
      <c r="C79">
        <v>158.86000000000001</v>
      </c>
      <c r="D79" t="s">
        <v>12</v>
      </c>
      <c r="E79">
        <v>541.39200000000005</v>
      </c>
      <c r="F79">
        <v>19705700000</v>
      </c>
      <c r="G79">
        <v>48.4</v>
      </c>
      <c r="H79" t="s">
        <v>12</v>
      </c>
      <c r="I79">
        <v>-369.61619999999999</v>
      </c>
      <c r="J79">
        <v>26995280000</v>
      </c>
      <c r="K79">
        <v>135.21</v>
      </c>
      <c r="L79" t="s">
        <v>12</v>
      </c>
      <c r="M79">
        <v>626.46789999999999</v>
      </c>
      <c r="N79">
        <v>25775590000</v>
      </c>
      <c r="O79">
        <v>38.4</v>
      </c>
      <c r="P79" t="s">
        <v>12</v>
      </c>
      <c r="Q79">
        <v>1969.5998</v>
      </c>
      <c r="R79">
        <v>36352260000</v>
      </c>
      <c r="S79">
        <v>104.51</v>
      </c>
      <c r="T79" t="s">
        <v>12</v>
      </c>
      <c r="U79">
        <v>-578.04020000000003</v>
      </c>
      <c r="V79">
        <v>25807820000</v>
      </c>
    </row>
    <row r="80" spans="2:22" x14ac:dyDescent="0.25">
      <c r="B80" s="1">
        <v>44469</v>
      </c>
      <c r="C80">
        <v>149.32</v>
      </c>
      <c r="D80" t="s">
        <v>12</v>
      </c>
      <c r="E80">
        <v>-944.75639999999999</v>
      </c>
      <c r="F80">
        <v>34452700000</v>
      </c>
      <c r="G80">
        <v>52.09</v>
      </c>
      <c r="H80" t="s">
        <v>12</v>
      </c>
      <c r="I80">
        <v>1319.5358000000001</v>
      </c>
      <c r="J80">
        <v>34017280000</v>
      </c>
      <c r="K80">
        <v>127.3</v>
      </c>
      <c r="L80" t="s">
        <v>12</v>
      </c>
      <c r="M80">
        <v>-1293.2911999999999</v>
      </c>
      <c r="N80">
        <v>31024830000</v>
      </c>
      <c r="O80">
        <v>37.53</v>
      </c>
      <c r="P80" t="s">
        <v>12</v>
      </c>
      <c r="Q80">
        <v>-1863.9338</v>
      </c>
      <c r="R80">
        <v>41480270000</v>
      </c>
      <c r="S80">
        <v>97.84</v>
      </c>
      <c r="T80" t="s">
        <v>12</v>
      </c>
      <c r="U80">
        <v>-646.93340000000001</v>
      </c>
      <c r="V80">
        <v>27767060000</v>
      </c>
    </row>
    <row r="81" spans="2:22" x14ac:dyDescent="0.25">
      <c r="B81" s="1">
        <v>44498</v>
      </c>
      <c r="C81">
        <v>161.53</v>
      </c>
      <c r="D81" t="s">
        <v>12</v>
      </c>
      <c r="E81">
        <v>840.49570000000006</v>
      </c>
      <c r="F81">
        <v>32302330000</v>
      </c>
      <c r="G81">
        <v>57.47</v>
      </c>
      <c r="H81" t="s">
        <v>12</v>
      </c>
      <c r="I81">
        <v>-529.70540000000005</v>
      </c>
      <c r="J81">
        <v>39167010000</v>
      </c>
      <c r="K81">
        <v>133.82</v>
      </c>
      <c r="L81" t="s">
        <v>12</v>
      </c>
      <c r="M81">
        <v>285.50580000000002</v>
      </c>
      <c r="N81">
        <v>35061270000</v>
      </c>
      <c r="O81">
        <v>40.26</v>
      </c>
      <c r="P81" t="s">
        <v>12</v>
      </c>
      <c r="Q81">
        <v>1893.7994000000001</v>
      </c>
      <c r="R81">
        <v>42248010000</v>
      </c>
      <c r="S81">
        <v>104.49</v>
      </c>
      <c r="T81" t="s">
        <v>12</v>
      </c>
      <c r="U81">
        <v>-778.26499999999999</v>
      </c>
      <c r="V81">
        <v>22695980000</v>
      </c>
    </row>
    <row r="82" spans="2:22" x14ac:dyDescent="0.25">
      <c r="B82" s="1">
        <v>44530</v>
      </c>
      <c r="C82">
        <v>168.72</v>
      </c>
      <c r="D82" t="s">
        <v>12</v>
      </c>
      <c r="E82">
        <v>571.48099999999999</v>
      </c>
      <c r="F82">
        <v>39023670000</v>
      </c>
      <c r="G82">
        <v>54.59</v>
      </c>
      <c r="H82" t="s">
        <v>12</v>
      </c>
      <c r="I82">
        <v>-420.08629999999999</v>
      </c>
      <c r="J82">
        <v>34106200000</v>
      </c>
      <c r="K82">
        <v>129.72999999999999</v>
      </c>
      <c r="L82" t="s">
        <v>12</v>
      </c>
      <c r="M82">
        <v>676.26210000000003</v>
      </c>
      <c r="N82">
        <v>32023780000</v>
      </c>
      <c r="O82">
        <v>37.96</v>
      </c>
      <c r="P82" t="s">
        <v>12</v>
      </c>
      <c r="Q82">
        <v>-1578.2844</v>
      </c>
      <c r="R82">
        <v>44438880000</v>
      </c>
      <c r="S82">
        <v>100.77</v>
      </c>
      <c r="T82" t="s">
        <v>12</v>
      </c>
      <c r="U82">
        <v>-618.91660000000002</v>
      </c>
      <c r="V82">
        <v>23541010000</v>
      </c>
    </row>
    <row r="83" spans="2:22" x14ac:dyDescent="0.25">
      <c r="B83" s="1">
        <v>44561</v>
      </c>
      <c r="C83">
        <v>173.87</v>
      </c>
      <c r="D83" t="s">
        <v>12</v>
      </c>
      <c r="E83">
        <v>376.18779999999998</v>
      </c>
      <c r="F83">
        <v>46377910000</v>
      </c>
      <c r="G83">
        <v>55.5</v>
      </c>
      <c r="H83" t="s">
        <v>12</v>
      </c>
      <c r="I83">
        <v>638.28020000000004</v>
      </c>
      <c r="J83">
        <v>33397280000</v>
      </c>
      <c r="K83">
        <v>140.88999999999999</v>
      </c>
      <c r="L83" t="s">
        <v>12</v>
      </c>
      <c r="M83">
        <v>1022.153</v>
      </c>
      <c r="N83">
        <v>37712930000</v>
      </c>
      <c r="O83">
        <v>39.049999999999997</v>
      </c>
      <c r="P83" t="s">
        <v>12</v>
      </c>
      <c r="Q83">
        <v>1769.3143</v>
      </c>
      <c r="R83">
        <v>51992160000</v>
      </c>
      <c r="S83">
        <v>105.81</v>
      </c>
      <c r="T83" t="s">
        <v>12</v>
      </c>
      <c r="U83">
        <v>173.42760000000001</v>
      </c>
      <c r="V83">
        <v>26929300000</v>
      </c>
    </row>
    <row r="84" spans="2:22" x14ac:dyDescent="0.25">
      <c r="B84" s="1">
        <v>44592</v>
      </c>
      <c r="C84">
        <v>161.97</v>
      </c>
      <c r="D84" t="s">
        <v>12</v>
      </c>
      <c r="E84">
        <v>-481.9058</v>
      </c>
      <c r="F84">
        <v>51639240000</v>
      </c>
      <c r="G84">
        <v>65.92</v>
      </c>
      <c r="H84" t="s">
        <v>12</v>
      </c>
      <c r="I84">
        <v>1992.8200999999999</v>
      </c>
      <c r="J84">
        <v>53728580000</v>
      </c>
      <c r="K84">
        <v>131.22999999999999</v>
      </c>
      <c r="L84" t="s">
        <v>12</v>
      </c>
      <c r="M84">
        <v>1161.7686000000001</v>
      </c>
      <c r="N84">
        <v>46575750000</v>
      </c>
      <c r="O84">
        <v>39.06</v>
      </c>
      <c r="P84" t="s">
        <v>12</v>
      </c>
      <c r="Q84">
        <v>3900.6248999999998</v>
      </c>
      <c r="R84">
        <v>63471770000</v>
      </c>
      <c r="S84">
        <v>100.74</v>
      </c>
      <c r="T84" t="s">
        <v>12</v>
      </c>
      <c r="U84">
        <v>110.4693</v>
      </c>
      <c r="V84">
        <v>36482410000</v>
      </c>
    </row>
    <row r="85" spans="2:22" x14ac:dyDescent="0.25">
      <c r="B85" s="1">
        <v>44620</v>
      </c>
      <c r="C85">
        <v>154.07</v>
      </c>
      <c r="D85" t="s">
        <v>12</v>
      </c>
      <c r="E85">
        <v>-102.88379999999999</v>
      </c>
      <c r="F85">
        <v>42187650000</v>
      </c>
      <c r="G85">
        <v>70.58</v>
      </c>
      <c r="H85" t="s">
        <v>12</v>
      </c>
      <c r="I85">
        <v>5.9828000000000001</v>
      </c>
      <c r="J85">
        <v>52299830000</v>
      </c>
      <c r="K85">
        <v>129.96</v>
      </c>
      <c r="L85" t="s">
        <v>12</v>
      </c>
      <c r="M85">
        <v>-274.2047</v>
      </c>
      <c r="N85">
        <v>33070650000</v>
      </c>
      <c r="O85">
        <v>38.520000000000003</v>
      </c>
      <c r="P85" t="s">
        <v>12</v>
      </c>
      <c r="Q85">
        <v>-882.78920000000005</v>
      </c>
      <c r="R85">
        <v>51722770000</v>
      </c>
      <c r="S85">
        <v>99.89</v>
      </c>
      <c r="T85" t="s">
        <v>12</v>
      </c>
      <c r="U85">
        <v>-346.7045</v>
      </c>
      <c r="V85">
        <v>27773960000</v>
      </c>
    </row>
    <row r="86" spans="2:22" x14ac:dyDescent="0.25">
      <c r="B86" s="1">
        <v>44651</v>
      </c>
      <c r="C86">
        <v>158.93</v>
      </c>
      <c r="D86" t="s">
        <v>12</v>
      </c>
      <c r="E86">
        <v>753.30499999999995</v>
      </c>
      <c r="F86">
        <v>40912120000</v>
      </c>
      <c r="G86">
        <v>76.44</v>
      </c>
      <c r="H86" t="s">
        <v>12</v>
      </c>
      <c r="I86">
        <v>-2130.6623</v>
      </c>
      <c r="J86">
        <v>81515500000</v>
      </c>
      <c r="K86">
        <v>136.99</v>
      </c>
      <c r="L86" t="s">
        <v>12</v>
      </c>
      <c r="M86">
        <v>1546.4949999999999</v>
      </c>
      <c r="N86">
        <v>37285550000</v>
      </c>
      <c r="O86">
        <v>38.32</v>
      </c>
      <c r="P86" t="s">
        <v>12</v>
      </c>
      <c r="Q86">
        <v>-105.92010000000001</v>
      </c>
      <c r="R86">
        <v>63075560000</v>
      </c>
      <c r="S86">
        <v>102.98</v>
      </c>
      <c r="T86" t="s">
        <v>12</v>
      </c>
      <c r="U86">
        <v>-607.12360000000001</v>
      </c>
      <c r="V86">
        <v>30307770000</v>
      </c>
    </row>
    <row r="87" spans="2:22" x14ac:dyDescent="0.25">
      <c r="B87" s="1">
        <v>44680</v>
      </c>
      <c r="C87">
        <v>141.41999999999999</v>
      </c>
      <c r="D87" t="s">
        <v>12</v>
      </c>
      <c r="E87">
        <v>369.17809999999997</v>
      </c>
      <c r="F87">
        <v>35142380000</v>
      </c>
      <c r="G87">
        <v>75.150000000000006</v>
      </c>
      <c r="H87" t="s">
        <v>12</v>
      </c>
      <c r="I87">
        <v>31.712199999999999</v>
      </c>
      <c r="J87">
        <v>49792960000</v>
      </c>
      <c r="K87">
        <v>130.29</v>
      </c>
      <c r="L87" t="s">
        <v>12</v>
      </c>
      <c r="M87">
        <v>1578.2438999999999</v>
      </c>
      <c r="N87">
        <v>44037600000</v>
      </c>
      <c r="O87">
        <v>34.51</v>
      </c>
      <c r="P87" t="s">
        <v>12</v>
      </c>
      <c r="Q87">
        <v>-4972.4708000000001</v>
      </c>
      <c r="R87">
        <v>49129710000</v>
      </c>
      <c r="S87">
        <v>95.14</v>
      </c>
      <c r="T87" t="s">
        <v>12</v>
      </c>
      <c r="U87">
        <v>-429.75959999999998</v>
      </c>
      <c r="V87">
        <v>23939400000</v>
      </c>
    </row>
    <row r="88" spans="2:22" x14ac:dyDescent="0.25">
      <c r="B88" s="1">
        <v>44712</v>
      </c>
      <c r="C88">
        <v>140.44999999999999</v>
      </c>
      <c r="D88" t="s">
        <v>12</v>
      </c>
      <c r="E88">
        <v>-479.69850000000002</v>
      </c>
      <c r="F88">
        <v>36863670000</v>
      </c>
      <c r="G88">
        <v>87.2</v>
      </c>
      <c r="H88" t="s">
        <v>12</v>
      </c>
      <c r="I88">
        <v>712.29600000000005</v>
      </c>
      <c r="J88">
        <v>63335590000</v>
      </c>
      <c r="K88">
        <v>132.22999999999999</v>
      </c>
      <c r="L88" t="s">
        <v>12</v>
      </c>
      <c r="M88">
        <v>2199.8897000000002</v>
      </c>
      <c r="N88">
        <v>37786530000</v>
      </c>
      <c r="O88">
        <v>35.47</v>
      </c>
      <c r="P88" t="s">
        <v>12</v>
      </c>
      <c r="Q88">
        <v>-3435.6342</v>
      </c>
      <c r="R88">
        <v>57175430000</v>
      </c>
      <c r="S88">
        <v>94.7</v>
      </c>
      <c r="T88" t="s">
        <v>12</v>
      </c>
      <c r="U88">
        <v>-665.72220000000004</v>
      </c>
      <c r="V88">
        <v>30065640000</v>
      </c>
    </row>
    <row r="89" spans="2:22" x14ac:dyDescent="0.25">
      <c r="B89" s="1">
        <v>44742</v>
      </c>
      <c r="C89">
        <v>127.12</v>
      </c>
      <c r="D89" t="s">
        <v>12</v>
      </c>
      <c r="E89">
        <v>-50.3202</v>
      </c>
      <c r="F89">
        <v>24411330000</v>
      </c>
      <c r="G89">
        <v>71.510000000000005</v>
      </c>
      <c r="H89" t="s">
        <v>12</v>
      </c>
      <c r="I89">
        <v>-1319.5482999999999</v>
      </c>
      <c r="J89">
        <v>61916510000</v>
      </c>
      <c r="K89">
        <v>128.24</v>
      </c>
      <c r="L89" t="s">
        <v>12</v>
      </c>
      <c r="M89">
        <v>-676.39800000000002</v>
      </c>
      <c r="N89">
        <v>25023210000</v>
      </c>
      <c r="O89">
        <v>31.45</v>
      </c>
      <c r="P89" t="s">
        <v>12</v>
      </c>
      <c r="Q89">
        <v>-1212.0749000000001</v>
      </c>
      <c r="R89">
        <v>42371130000</v>
      </c>
      <c r="S89">
        <v>87.34</v>
      </c>
      <c r="T89" t="s">
        <v>12</v>
      </c>
      <c r="U89">
        <v>-99.247</v>
      </c>
      <c r="V89">
        <v>18095350000</v>
      </c>
    </row>
    <row r="90" spans="2:22" x14ac:dyDescent="0.25">
      <c r="B90" s="1">
        <v>44771</v>
      </c>
      <c r="C90">
        <v>144.22</v>
      </c>
      <c r="D90" t="s">
        <v>12</v>
      </c>
      <c r="E90">
        <v>332.5874</v>
      </c>
      <c r="F90">
        <v>17511340000</v>
      </c>
      <c r="G90">
        <v>78.42</v>
      </c>
      <c r="H90" t="s">
        <v>12</v>
      </c>
      <c r="I90">
        <v>-340.0446</v>
      </c>
      <c r="J90">
        <v>39470000000</v>
      </c>
      <c r="K90">
        <v>132.4</v>
      </c>
      <c r="L90" t="s">
        <v>12</v>
      </c>
      <c r="M90">
        <v>967.99839999999995</v>
      </c>
      <c r="N90">
        <v>21293540000</v>
      </c>
      <c r="O90">
        <v>33.71</v>
      </c>
      <c r="P90" t="s">
        <v>12</v>
      </c>
      <c r="Q90">
        <v>-744.48009999999999</v>
      </c>
      <c r="R90">
        <v>26823260000</v>
      </c>
      <c r="S90">
        <v>95.64</v>
      </c>
      <c r="T90" t="s">
        <v>12</v>
      </c>
      <c r="U90">
        <v>-522.18870000000004</v>
      </c>
      <c r="V90">
        <v>13772630000</v>
      </c>
    </row>
    <row r="91" spans="2:22" x14ac:dyDescent="0.25">
      <c r="B91" s="1">
        <v>44804</v>
      </c>
      <c r="C91">
        <v>135.26</v>
      </c>
      <c r="D91" t="s">
        <v>12</v>
      </c>
      <c r="E91">
        <v>237.98490000000001</v>
      </c>
      <c r="F91">
        <v>19421710000</v>
      </c>
      <c r="G91">
        <v>80.5</v>
      </c>
      <c r="H91" t="s">
        <v>12</v>
      </c>
      <c r="I91">
        <v>-195.50460000000001</v>
      </c>
      <c r="J91">
        <v>41671630000</v>
      </c>
      <c r="K91">
        <v>124.76</v>
      </c>
      <c r="L91" t="s">
        <v>12</v>
      </c>
      <c r="M91">
        <v>202.49979999999999</v>
      </c>
      <c r="N91">
        <v>21760260000</v>
      </c>
      <c r="O91">
        <v>33.049999999999997</v>
      </c>
      <c r="P91" t="s">
        <v>12</v>
      </c>
      <c r="Q91">
        <v>3653.6532999999999</v>
      </c>
      <c r="R91">
        <v>25669320000</v>
      </c>
      <c r="S91">
        <v>92.93</v>
      </c>
      <c r="T91" t="s">
        <v>12</v>
      </c>
      <c r="U91">
        <v>296.02789999999999</v>
      </c>
      <c r="V91">
        <v>15634130000</v>
      </c>
    </row>
    <row r="92" spans="2:22" x14ac:dyDescent="0.25">
      <c r="B92" s="1">
        <v>44834</v>
      </c>
      <c r="C92">
        <v>118.78</v>
      </c>
      <c r="D92" t="s">
        <v>12</v>
      </c>
      <c r="E92">
        <v>-243.81049999999999</v>
      </c>
      <c r="F92">
        <v>22203480000</v>
      </c>
      <c r="G92">
        <v>72.02</v>
      </c>
      <c r="H92" t="s">
        <v>12</v>
      </c>
      <c r="I92">
        <v>107.8351</v>
      </c>
      <c r="J92">
        <v>45888200000</v>
      </c>
      <c r="K92">
        <v>121.11</v>
      </c>
      <c r="L92" t="s">
        <v>12</v>
      </c>
      <c r="M92">
        <v>-822.82029999999997</v>
      </c>
      <c r="N92">
        <v>28132720000</v>
      </c>
      <c r="O92">
        <v>30.36</v>
      </c>
      <c r="P92" t="s">
        <v>12</v>
      </c>
      <c r="Q92">
        <v>-3762.8121999999998</v>
      </c>
      <c r="R92">
        <v>31613100000</v>
      </c>
      <c r="S92">
        <v>82.84</v>
      </c>
      <c r="T92" t="s">
        <v>12</v>
      </c>
      <c r="U92">
        <v>-639.26840000000004</v>
      </c>
      <c r="V92">
        <v>18588470000</v>
      </c>
    </row>
    <row r="93" spans="2:22" x14ac:dyDescent="0.25">
      <c r="B93" s="1">
        <v>44865</v>
      </c>
      <c r="C93">
        <v>127.87</v>
      </c>
      <c r="D93" t="s">
        <v>12</v>
      </c>
      <c r="E93">
        <v>196.40260000000001</v>
      </c>
      <c r="F93">
        <v>20788990000</v>
      </c>
      <c r="G93">
        <v>90</v>
      </c>
      <c r="H93" t="s">
        <v>12</v>
      </c>
      <c r="I93">
        <v>811.67460000000005</v>
      </c>
      <c r="J93">
        <v>46229750000</v>
      </c>
      <c r="K93">
        <v>132.75</v>
      </c>
      <c r="L93" t="s">
        <v>12</v>
      </c>
      <c r="M93">
        <v>781.05020000000002</v>
      </c>
      <c r="N93">
        <v>24124910000</v>
      </c>
      <c r="O93">
        <v>33.979999999999997</v>
      </c>
      <c r="P93" t="s">
        <v>12</v>
      </c>
      <c r="Q93">
        <v>1021.4597</v>
      </c>
      <c r="R93">
        <v>30125190000</v>
      </c>
      <c r="S93">
        <v>94.35</v>
      </c>
      <c r="T93" t="s">
        <v>12</v>
      </c>
      <c r="U93">
        <v>217.72839999999999</v>
      </c>
      <c r="V93">
        <v>17565600000</v>
      </c>
    </row>
    <row r="94" spans="2:22" x14ac:dyDescent="0.25">
      <c r="B94" s="1">
        <v>44895</v>
      </c>
      <c r="C94">
        <v>135.96</v>
      </c>
      <c r="D94" t="s">
        <v>12</v>
      </c>
      <c r="E94">
        <v>215.72319999999999</v>
      </c>
      <c r="F94">
        <v>17731890000</v>
      </c>
      <c r="G94">
        <v>91.15</v>
      </c>
      <c r="H94" t="s">
        <v>12</v>
      </c>
      <c r="I94">
        <v>-443.34210000000002</v>
      </c>
      <c r="J94">
        <v>47460270000</v>
      </c>
      <c r="K94">
        <v>139.02000000000001</v>
      </c>
      <c r="L94" t="s">
        <v>12</v>
      </c>
      <c r="M94">
        <v>1267.8800000000001</v>
      </c>
      <c r="N94">
        <v>21574780000</v>
      </c>
      <c r="O94">
        <v>36.31</v>
      </c>
      <c r="P94" t="s">
        <v>12</v>
      </c>
      <c r="Q94">
        <v>318.11669999999998</v>
      </c>
      <c r="R94">
        <v>28756310000</v>
      </c>
      <c r="S94">
        <v>101.72</v>
      </c>
      <c r="T94" t="s">
        <v>12</v>
      </c>
      <c r="U94">
        <v>59.238199999999999</v>
      </c>
      <c r="V94">
        <v>19902920000</v>
      </c>
    </row>
    <row r="95" spans="2:22" x14ac:dyDescent="0.25">
      <c r="B95" s="1">
        <v>44925</v>
      </c>
      <c r="C95">
        <v>124.44</v>
      </c>
      <c r="D95" t="s">
        <v>12</v>
      </c>
      <c r="E95">
        <v>324.33730000000003</v>
      </c>
      <c r="F95">
        <v>18002620000</v>
      </c>
      <c r="G95">
        <v>87.47</v>
      </c>
      <c r="H95" t="s">
        <v>12</v>
      </c>
      <c r="I95">
        <v>-240.78980000000001</v>
      </c>
      <c r="J95">
        <v>37465220000</v>
      </c>
      <c r="K95">
        <v>135.85</v>
      </c>
      <c r="L95" t="s">
        <v>12</v>
      </c>
      <c r="M95">
        <v>-292.74680000000001</v>
      </c>
      <c r="N95">
        <v>21473950000</v>
      </c>
      <c r="O95">
        <v>34.200000000000003</v>
      </c>
      <c r="P95" t="s">
        <v>12</v>
      </c>
      <c r="Q95">
        <v>-454.58710000000002</v>
      </c>
      <c r="R95">
        <v>30855270000</v>
      </c>
      <c r="S95">
        <v>98.21</v>
      </c>
      <c r="T95" t="s">
        <v>12</v>
      </c>
      <c r="U95">
        <v>71.541600000000003</v>
      </c>
      <c r="V95">
        <v>19889060000</v>
      </c>
    </row>
    <row r="96" spans="2:22" x14ac:dyDescent="0.25">
      <c r="B96" s="1">
        <v>44957</v>
      </c>
      <c r="C96">
        <v>135.96</v>
      </c>
      <c r="D96" t="s">
        <v>12</v>
      </c>
      <c r="E96">
        <v>-892.26750000000004</v>
      </c>
      <c r="F96">
        <v>17952260000</v>
      </c>
      <c r="G96">
        <v>89.93</v>
      </c>
      <c r="H96" t="s">
        <v>12</v>
      </c>
      <c r="I96">
        <v>321.92630000000003</v>
      </c>
      <c r="J96">
        <v>31399090000</v>
      </c>
      <c r="K96">
        <v>133.36000000000001</v>
      </c>
      <c r="L96" t="s">
        <v>12</v>
      </c>
      <c r="M96">
        <v>-366.92880000000002</v>
      </c>
      <c r="N96">
        <v>19365100000</v>
      </c>
      <c r="O96">
        <v>36.56</v>
      </c>
      <c r="P96" t="s">
        <v>12</v>
      </c>
      <c r="Q96">
        <v>228.42449999999999</v>
      </c>
      <c r="R96">
        <v>30864600000</v>
      </c>
      <c r="S96">
        <v>101.85</v>
      </c>
      <c r="T96" t="s">
        <v>12</v>
      </c>
      <c r="U96">
        <v>96.203299999999999</v>
      </c>
      <c r="V96">
        <v>24170160000</v>
      </c>
    </row>
    <row r="97" spans="2:22" x14ac:dyDescent="0.25">
      <c r="B97" s="1">
        <v>44985</v>
      </c>
      <c r="C97">
        <v>136.52000000000001</v>
      </c>
      <c r="D97" t="s">
        <v>12</v>
      </c>
      <c r="E97">
        <v>-806.6798</v>
      </c>
      <c r="F97">
        <v>17278720000</v>
      </c>
      <c r="G97">
        <v>83.69</v>
      </c>
      <c r="H97" t="s">
        <v>12</v>
      </c>
      <c r="I97">
        <v>-109.60209999999999</v>
      </c>
      <c r="J97">
        <v>29520840000</v>
      </c>
      <c r="K97">
        <v>127.17</v>
      </c>
      <c r="L97" t="s">
        <v>12</v>
      </c>
      <c r="M97">
        <v>-153.25450000000001</v>
      </c>
      <c r="N97">
        <v>20779710000</v>
      </c>
      <c r="O97">
        <v>35.72</v>
      </c>
      <c r="P97" t="s">
        <v>12</v>
      </c>
      <c r="Q97">
        <v>560.57489999999996</v>
      </c>
      <c r="R97">
        <v>25273650000</v>
      </c>
      <c r="S97">
        <v>100.97</v>
      </c>
      <c r="T97" t="s">
        <v>12</v>
      </c>
      <c r="U97">
        <v>284.54020000000003</v>
      </c>
      <c r="V97">
        <v>18621240000</v>
      </c>
    </row>
    <row r="98" spans="2:22" x14ac:dyDescent="0.25">
      <c r="B98" s="1">
        <v>45016</v>
      </c>
      <c r="C98">
        <v>151.01</v>
      </c>
      <c r="D98" t="s">
        <v>12</v>
      </c>
      <c r="E98">
        <v>-722.94889999999998</v>
      </c>
      <c r="F98">
        <v>27425940000</v>
      </c>
      <c r="G98">
        <v>82.83</v>
      </c>
      <c r="H98" t="s">
        <v>12</v>
      </c>
      <c r="I98">
        <v>-734.50199999999995</v>
      </c>
      <c r="J98">
        <v>47033240000</v>
      </c>
      <c r="K98">
        <v>129.46</v>
      </c>
      <c r="L98" t="s">
        <v>12</v>
      </c>
      <c r="M98">
        <v>-1061.9779000000001</v>
      </c>
      <c r="N98">
        <v>33920920000</v>
      </c>
      <c r="O98">
        <v>32.15</v>
      </c>
      <c r="P98" t="s">
        <v>12</v>
      </c>
      <c r="Q98">
        <v>-590.3682</v>
      </c>
      <c r="R98">
        <v>60722630000</v>
      </c>
      <c r="S98">
        <v>101.18</v>
      </c>
      <c r="T98" t="s">
        <v>12</v>
      </c>
      <c r="U98">
        <v>-391.98540000000003</v>
      </c>
      <c r="V98">
        <v>34505380000</v>
      </c>
    </row>
    <row r="99" spans="2:22" x14ac:dyDescent="0.25">
      <c r="B99" s="1">
        <v>45044</v>
      </c>
      <c r="C99">
        <v>150.83000000000001</v>
      </c>
      <c r="D99" t="s">
        <v>12</v>
      </c>
      <c r="E99">
        <v>-243.8646</v>
      </c>
      <c r="F99">
        <v>17656420000</v>
      </c>
      <c r="G99">
        <v>85.13</v>
      </c>
      <c r="H99" t="s">
        <v>12</v>
      </c>
      <c r="I99">
        <v>-653.37009999999998</v>
      </c>
      <c r="J99">
        <v>27457790000</v>
      </c>
      <c r="K99">
        <v>133.53</v>
      </c>
      <c r="L99" t="s">
        <v>12</v>
      </c>
      <c r="M99">
        <v>155.7808</v>
      </c>
      <c r="N99">
        <v>20950830000</v>
      </c>
      <c r="O99">
        <v>33.17</v>
      </c>
      <c r="P99" t="s">
        <v>12</v>
      </c>
      <c r="Q99">
        <v>1897.4583</v>
      </c>
      <c r="R99">
        <v>30905850000</v>
      </c>
      <c r="S99">
        <v>100</v>
      </c>
      <c r="T99" t="s">
        <v>12</v>
      </c>
      <c r="U99">
        <v>-429.6225</v>
      </c>
      <c r="V99">
        <v>21547000000</v>
      </c>
    </row>
    <row r="100" spans="2:22" x14ac:dyDescent="0.25">
      <c r="B100" s="1">
        <v>45077</v>
      </c>
      <c r="C100">
        <v>164.28</v>
      </c>
      <c r="D100" t="s">
        <v>12</v>
      </c>
      <c r="E100">
        <v>22.059699999999999</v>
      </c>
      <c r="F100">
        <v>20156500000</v>
      </c>
      <c r="G100">
        <v>76.59</v>
      </c>
      <c r="H100" t="s">
        <v>12</v>
      </c>
      <c r="I100">
        <v>-1597.5063</v>
      </c>
      <c r="J100">
        <v>34930650000</v>
      </c>
      <c r="K100">
        <v>127.83</v>
      </c>
      <c r="L100" t="s">
        <v>12</v>
      </c>
      <c r="M100">
        <v>1344.1632</v>
      </c>
      <c r="N100">
        <v>27504570000</v>
      </c>
      <c r="O100">
        <v>31.76</v>
      </c>
      <c r="P100" t="s">
        <v>12</v>
      </c>
      <c r="Q100">
        <v>-2437.9843999999998</v>
      </c>
      <c r="R100">
        <v>32487820000</v>
      </c>
      <c r="S100">
        <v>96.85</v>
      </c>
      <c r="T100" t="s">
        <v>12</v>
      </c>
      <c r="U100">
        <v>-449.7165</v>
      </c>
      <c r="V100">
        <v>23526800000</v>
      </c>
    </row>
    <row r="101" spans="2:22" x14ac:dyDescent="0.25">
      <c r="B101" s="1">
        <v>45107</v>
      </c>
      <c r="C101">
        <v>173.86</v>
      </c>
      <c r="D101" t="s">
        <v>12</v>
      </c>
      <c r="E101">
        <v>88.138499999999993</v>
      </c>
      <c r="F101">
        <v>24340760000</v>
      </c>
      <c r="G101">
        <v>81.17</v>
      </c>
      <c r="H101" t="s">
        <v>12</v>
      </c>
      <c r="I101">
        <v>-1517.6647</v>
      </c>
      <c r="J101">
        <v>34071320000</v>
      </c>
      <c r="K101">
        <v>132.72999999999999</v>
      </c>
      <c r="L101" t="s">
        <v>12</v>
      </c>
      <c r="M101">
        <v>160.9588</v>
      </c>
      <c r="N101">
        <v>24711240000</v>
      </c>
      <c r="O101">
        <v>33.71</v>
      </c>
      <c r="P101" t="s">
        <v>12</v>
      </c>
      <c r="Q101">
        <v>2161.6714999999999</v>
      </c>
      <c r="R101">
        <v>30477280000</v>
      </c>
      <c r="S101">
        <v>107.32</v>
      </c>
      <c r="T101" t="s">
        <v>12</v>
      </c>
      <c r="U101">
        <v>1069.5011999999999</v>
      </c>
      <c r="V101">
        <v>25306900000</v>
      </c>
    </row>
    <row r="102" spans="2:22" x14ac:dyDescent="0.25">
      <c r="B102" s="1">
        <v>45138</v>
      </c>
      <c r="C102">
        <v>178.35</v>
      </c>
      <c r="D102" t="s">
        <v>12</v>
      </c>
      <c r="E102">
        <v>227.41749999999999</v>
      </c>
      <c r="F102">
        <v>23272710000</v>
      </c>
      <c r="G102">
        <v>87.48</v>
      </c>
      <c r="H102" t="s">
        <v>12</v>
      </c>
      <c r="I102">
        <v>1111.309</v>
      </c>
      <c r="J102">
        <v>31290600000</v>
      </c>
      <c r="K102">
        <v>134.15</v>
      </c>
      <c r="L102" t="s">
        <v>12</v>
      </c>
      <c r="M102">
        <v>-1345.73</v>
      </c>
      <c r="N102">
        <v>24385300000</v>
      </c>
      <c r="O102">
        <v>35.33</v>
      </c>
      <c r="P102" t="s">
        <v>12</v>
      </c>
      <c r="Q102">
        <v>1855.5535</v>
      </c>
      <c r="R102">
        <v>26030720000</v>
      </c>
      <c r="S102">
        <v>110.42</v>
      </c>
      <c r="T102" t="s">
        <v>12</v>
      </c>
      <c r="U102">
        <v>870.6703</v>
      </c>
      <c r="V102">
        <v>20166460000</v>
      </c>
    </row>
    <row r="103" spans="2:22" x14ac:dyDescent="0.25">
      <c r="B103" s="1">
        <v>45169</v>
      </c>
      <c r="C103">
        <v>175.66</v>
      </c>
      <c r="D103" t="s">
        <v>12</v>
      </c>
      <c r="E103">
        <v>286.64940000000001</v>
      </c>
      <c r="F103">
        <v>23485520000</v>
      </c>
      <c r="G103">
        <v>88.92</v>
      </c>
      <c r="H103" t="s">
        <v>12</v>
      </c>
      <c r="I103">
        <v>67.0685</v>
      </c>
      <c r="J103">
        <v>36655490000</v>
      </c>
      <c r="K103">
        <v>133.21</v>
      </c>
      <c r="L103" t="s">
        <v>12</v>
      </c>
      <c r="M103">
        <v>293.49939999999998</v>
      </c>
      <c r="N103">
        <v>29165190000</v>
      </c>
      <c r="O103">
        <v>34.380000000000003</v>
      </c>
      <c r="P103" t="s">
        <v>12</v>
      </c>
      <c r="Q103">
        <v>-1834.9659999999999</v>
      </c>
      <c r="R103">
        <v>28745940000</v>
      </c>
      <c r="S103">
        <v>108.23</v>
      </c>
      <c r="T103" t="s">
        <v>12</v>
      </c>
      <c r="U103">
        <v>-446.94069999999999</v>
      </c>
      <c r="V103">
        <v>21020570000</v>
      </c>
    </row>
    <row r="104" spans="2:22" x14ac:dyDescent="0.25">
      <c r="B104" s="1">
        <v>45198</v>
      </c>
      <c r="C104">
        <v>163.93</v>
      </c>
      <c r="D104" t="s">
        <v>12</v>
      </c>
      <c r="E104">
        <v>27.3066</v>
      </c>
      <c r="F104">
        <v>19724490000</v>
      </c>
      <c r="G104">
        <v>90.39</v>
      </c>
      <c r="H104" t="s">
        <v>12</v>
      </c>
      <c r="I104">
        <v>529.45489999999995</v>
      </c>
      <c r="J104">
        <v>37225670000</v>
      </c>
      <c r="K104">
        <v>128.74</v>
      </c>
      <c r="L104" t="s">
        <v>12</v>
      </c>
      <c r="M104">
        <v>-1150.3638000000001</v>
      </c>
      <c r="N104">
        <v>22623750000</v>
      </c>
      <c r="O104">
        <v>33.17</v>
      </c>
      <c r="P104" t="s">
        <v>12</v>
      </c>
      <c r="Q104">
        <v>-1495.6664000000001</v>
      </c>
      <c r="R104">
        <v>29819290000</v>
      </c>
      <c r="S104">
        <v>101.38</v>
      </c>
      <c r="T104" t="s">
        <v>12</v>
      </c>
      <c r="U104">
        <v>-34.011899999999997</v>
      </c>
      <c r="V104">
        <v>18682180000</v>
      </c>
    </row>
    <row r="105" spans="2:22" x14ac:dyDescent="0.25">
      <c r="B105" s="1">
        <v>45230</v>
      </c>
      <c r="C105">
        <v>164.01</v>
      </c>
      <c r="D105" t="s">
        <v>12</v>
      </c>
      <c r="E105">
        <v>-311.9427</v>
      </c>
      <c r="F105">
        <v>27299880000</v>
      </c>
      <c r="G105">
        <v>85.19</v>
      </c>
      <c r="H105" t="s">
        <v>12</v>
      </c>
      <c r="I105">
        <v>1373.1304</v>
      </c>
      <c r="J105">
        <v>45959080000</v>
      </c>
      <c r="K105">
        <v>124.54</v>
      </c>
      <c r="L105" t="s">
        <v>12</v>
      </c>
      <c r="M105">
        <v>-894.90909999999997</v>
      </c>
      <c r="N105">
        <v>32572450000</v>
      </c>
      <c r="O105">
        <v>32.36</v>
      </c>
      <c r="P105" t="s">
        <v>12</v>
      </c>
      <c r="Q105">
        <v>-2082.9097999999999</v>
      </c>
      <c r="R105">
        <v>36130150000</v>
      </c>
      <c r="S105">
        <v>98.36</v>
      </c>
      <c r="T105" t="s">
        <v>12</v>
      </c>
      <c r="U105">
        <v>-140.88409999999999</v>
      </c>
      <c r="V105">
        <v>24651420000</v>
      </c>
    </row>
    <row r="106" spans="2:22" x14ac:dyDescent="0.25">
      <c r="B106" s="1">
        <v>45260</v>
      </c>
      <c r="C106">
        <v>185.16</v>
      </c>
      <c r="D106" t="s">
        <v>12</v>
      </c>
      <c r="E106">
        <v>1976.8028999999999</v>
      </c>
      <c r="F106">
        <v>23695980000</v>
      </c>
      <c r="G106">
        <v>84.58</v>
      </c>
      <c r="H106" t="s">
        <v>12</v>
      </c>
      <c r="I106">
        <v>-255.36969999999999</v>
      </c>
      <c r="J106">
        <v>34583640000</v>
      </c>
      <c r="K106">
        <v>131.31</v>
      </c>
      <c r="L106" t="s">
        <v>12</v>
      </c>
      <c r="M106">
        <v>190.3672</v>
      </c>
      <c r="N106">
        <v>24544910000</v>
      </c>
      <c r="O106">
        <v>35.9</v>
      </c>
      <c r="P106" t="s">
        <v>12</v>
      </c>
      <c r="Q106">
        <v>1240.5499</v>
      </c>
      <c r="R106">
        <v>26335070000</v>
      </c>
      <c r="S106">
        <v>107.05</v>
      </c>
      <c r="T106" t="s">
        <v>12</v>
      </c>
      <c r="U106">
        <v>-594.16179999999997</v>
      </c>
      <c r="V106">
        <v>19924160000</v>
      </c>
    </row>
    <row r="107" spans="2:22" x14ac:dyDescent="0.25">
      <c r="B107" s="1">
        <v>45289</v>
      </c>
      <c r="C107">
        <v>192.48</v>
      </c>
      <c r="D107" t="s">
        <v>12</v>
      </c>
      <c r="E107">
        <v>780.61519999999996</v>
      </c>
      <c r="F107">
        <v>27816290000</v>
      </c>
      <c r="G107">
        <v>83.84</v>
      </c>
      <c r="H107" t="s">
        <v>12</v>
      </c>
      <c r="I107">
        <v>-1119.1075000000001</v>
      </c>
      <c r="J107">
        <v>31409120000</v>
      </c>
      <c r="K107">
        <v>136.38</v>
      </c>
      <c r="L107" t="s">
        <v>12</v>
      </c>
      <c r="M107">
        <v>-1482.3761999999999</v>
      </c>
      <c r="N107">
        <v>18164980000</v>
      </c>
      <c r="O107">
        <v>37.6</v>
      </c>
      <c r="P107" t="s">
        <v>12</v>
      </c>
      <c r="Q107">
        <v>491.09890000000001</v>
      </c>
      <c r="R107">
        <v>28815570000</v>
      </c>
      <c r="S107">
        <v>113.99</v>
      </c>
      <c r="T107" t="s">
        <v>12</v>
      </c>
      <c r="U107">
        <v>-48.470399999999998</v>
      </c>
      <c r="V107">
        <v>19651220000</v>
      </c>
    </row>
    <row r="108" spans="2:22" x14ac:dyDescent="0.25">
      <c r="B108" s="1">
        <v>45322</v>
      </c>
      <c r="C108">
        <v>197.68</v>
      </c>
      <c r="D108" t="s">
        <v>12</v>
      </c>
      <c r="E108">
        <v>704.74099999999999</v>
      </c>
      <c r="F108">
        <v>29352000000</v>
      </c>
      <c r="G108">
        <v>83.41</v>
      </c>
      <c r="H108" t="s">
        <v>12</v>
      </c>
      <c r="I108">
        <v>-297.27229999999997</v>
      </c>
      <c r="J108">
        <v>31492510000</v>
      </c>
      <c r="K108">
        <v>140.38</v>
      </c>
      <c r="L108" t="s">
        <v>12</v>
      </c>
      <c r="M108">
        <v>786.01070000000004</v>
      </c>
      <c r="N108">
        <v>25084260000</v>
      </c>
      <c r="O108">
        <v>38.76</v>
      </c>
      <c r="P108" t="s">
        <v>12</v>
      </c>
      <c r="Q108">
        <v>1132.4961000000001</v>
      </c>
      <c r="R108">
        <v>35400770000</v>
      </c>
      <c r="S108">
        <v>112.89</v>
      </c>
      <c r="T108" t="s">
        <v>12</v>
      </c>
      <c r="U108">
        <v>368.19959999999998</v>
      </c>
      <c r="V108">
        <v>22815540000</v>
      </c>
    </row>
    <row r="109" spans="2:22" x14ac:dyDescent="0.25">
      <c r="B109" s="1">
        <v>45351</v>
      </c>
      <c r="C109">
        <v>206.98</v>
      </c>
      <c r="D109" t="s">
        <v>12</v>
      </c>
      <c r="E109">
        <v>123.12309999999999</v>
      </c>
      <c r="F109">
        <v>26411610000</v>
      </c>
      <c r="G109">
        <v>86.14</v>
      </c>
      <c r="H109" t="s">
        <v>12</v>
      </c>
      <c r="I109">
        <v>-1018.1263</v>
      </c>
      <c r="J109">
        <v>27670670000</v>
      </c>
      <c r="K109">
        <v>144.82</v>
      </c>
      <c r="L109" t="s">
        <v>12</v>
      </c>
      <c r="M109">
        <v>-162.2029</v>
      </c>
      <c r="N109">
        <v>24993050000</v>
      </c>
      <c r="O109">
        <v>40.340000000000003</v>
      </c>
      <c r="P109" t="s">
        <v>12</v>
      </c>
      <c r="Q109">
        <v>-669.44860000000006</v>
      </c>
      <c r="R109">
        <v>36805600000</v>
      </c>
      <c r="S109">
        <v>121</v>
      </c>
      <c r="T109" t="s">
        <v>12</v>
      </c>
      <c r="U109">
        <v>57.887799999999999</v>
      </c>
      <c r="V109">
        <v>22746040000</v>
      </c>
    </row>
    <row r="110" spans="2:22" x14ac:dyDescent="0.25">
      <c r="B110" s="1">
        <v>45380</v>
      </c>
      <c r="C110">
        <v>208.27</v>
      </c>
      <c r="D110" t="s">
        <v>12</v>
      </c>
      <c r="E110">
        <v>1202.5268000000001</v>
      </c>
      <c r="F110">
        <v>28952160000</v>
      </c>
      <c r="G110">
        <v>94.41</v>
      </c>
      <c r="H110" t="s">
        <v>12</v>
      </c>
      <c r="I110">
        <v>414.56830000000002</v>
      </c>
      <c r="J110">
        <v>27848760000</v>
      </c>
      <c r="K110">
        <v>147.72999999999999</v>
      </c>
      <c r="L110" t="s">
        <v>12</v>
      </c>
      <c r="M110">
        <v>-342.6925</v>
      </c>
      <c r="N110">
        <v>23037190000</v>
      </c>
      <c r="O110">
        <v>42.12</v>
      </c>
      <c r="P110" t="s">
        <v>12</v>
      </c>
      <c r="Q110">
        <v>-329.3415</v>
      </c>
      <c r="R110">
        <v>36949760000</v>
      </c>
      <c r="S110">
        <v>125.96</v>
      </c>
      <c r="T110" t="s">
        <v>12</v>
      </c>
      <c r="U110">
        <v>678.70320000000004</v>
      </c>
      <c r="V110">
        <v>22206910000</v>
      </c>
    </row>
    <row r="111" spans="2:22" x14ac:dyDescent="0.25">
      <c r="B111" s="1">
        <v>45412</v>
      </c>
      <c r="C111">
        <v>196.27</v>
      </c>
      <c r="D111" t="s">
        <v>12</v>
      </c>
      <c r="E111">
        <v>152.55779999999999</v>
      </c>
      <c r="F111">
        <v>28468240000</v>
      </c>
      <c r="G111">
        <v>93.52</v>
      </c>
      <c r="H111" t="s">
        <v>12</v>
      </c>
      <c r="I111">
        <v>577.86980000000005</v>
      </c>
      <c r="J111">
        <v>35724610000</v>
      </c>
      <c r="K111">
        <v>140.33000000000001</v>
      </c>
      <c r="L111" t="s">
        <v>12</v>
      </c>
      <c r="M111">
        <v>-1123.4100000000001</v>
      </c>
      <c r="N111">
        <v>29101410000</v>
      </c>
      <c r="O111">
        <v>40.36</v>
      </c>
      <c r="P111" t="s">
        <v>12</v>
      </c>
      <c r="Q111">
        <v>756.7482</v>
      </c>
      <c r="R111">
        <v>43277050000</v>
      </c>
      <c r="S111">
        <v>121.52</v>
      </c>
      <c r="T111" t="s">
        <v>12</v>
      </c>
      <c r="U111">
        <v>468.2867</v>
      </c>
      <c r="V111">
        <v>26963390000</v>
      </c>
    </row>
    <row r="112" spans="2:22" x14ac:dyDescent="0.25">
      <c r="B112" s="1">
        <v>45443</v>
      </c>
      <c r="C112">
        <v>210.16</v>
      </c>
      <c r="D112" t="s">
        <v>12</v>
      </c>
      <c r="E112">
        <v>-470.12560000000002</v>
      </c>
      <c r="F112">
        <v>22896670000</v>
      </c>
      <c r="G112">
        <v>93.2</v>
      </c>
      <c r="H112" t="s">
        <v>12</v>
      </c>
      <c r="I112">
        <v>-879.44029999999998</v>
      </c>
      <c r="J112">
        <v>28610230000</v>
      </c>
      <c r="K112">
        <v>143.69999999999999</v>
      </c>
      <c r="L112" t="s">
        <v>12</v>
      </c>
      <c r="M112">
        <v>-475.19630000000001</v>
      </c>
      <c r="N112">
        <v>21171520000</v>
      </c>
      <c r="O112">
        <v>41.64</v>
      </c>
      <c r="P112" t="s">
        <v>12</v>
      </c>
      <c r="Q112">
        <v>189.6558</v>
      </c>
      <c r="R112">
        <v>33310350000</v>
      </c>
      <c r="S112">
        <v>123.51</v>
      </c>
      <c r="T112" t="s">
        <v>12</v>
      </c>
      <c r="U112">
        <v>380.44170000000003</v>
      </c>
      <c r="V112">
        <v>21857310000</v>
      </c>
    </row>
    <row r="113" spans="2:22" x14ac:dyDescent="0.25">
      <c r="B113" s="1">
        <v>45471</v>
      </c>
      <c r="C113">
        <v>226.23</v>
      </c>
      <c r="D113" t="s">
        <v>12</v>
      </c>
      <c r="E113">
        <v>-72.667000000000002</v>
      </c>
      <c r="F113">
        <v>21900620000</v>
      </c>
      <c r="G113">
        <v>91.15</v>
      </c>
      <c r="H113" t="s">
        <v>12</v>
      </c>
      <c r="I113">
        <v>-38.669499999999999</v>
      </c>
      <c r="J113">
        <v>23684370000</v>
      </c>
      <c r="K113">
        <v>145.75</v>
      </c>
      <c r="L113" t="s">
        <v>12</v>
      </c>
      <c r="M113">
        <v>12.1287</v>
      </c>
      <c r="N113">
        <v>16387820000</v>
      </c>
      <c r="O113">
        <v>41.11</v>
      </c>
      <c r="P113" t="s">
        <v>12</v>
      </c>
      <c r="Q113">
        <v>508.23630000000003</v>
      </c>
      <c r="R113">
        <v>29525550000</v>
      </c>
      <c r="S113">
        <v>121.87</v>
      </c>
      <c r="T113" t="s">
        <v>12</v>
      </c>
      <c r="U113">
        <v>-329.6574</v>
      </c>
      <c r="V113">
        <v>21636100000</v>
      </c>
    </row>
    <row r="114" spans="2:22" x14ac:dyDescent="0.25">
      <c r="B114" s="1">
        <v>45504</v>
      </c>
      <c r="C114">
        <v>218.8</v>
      </c>
      <c r="D114" t="s">
        <v>12</v>
      </c>
      <c r="E114">
        <v>11.8369</v>
      </c>
      <c r="F114">
        <v>24986310000</v>
      </c>
      <c r="G114">
        <v>93.21</v>
      </c>
      <c r="H114" t="s">
        <v>12</v>
      </c>
      <c r="I114">
        <v>1197.4168999999999</v>
      </c>
      <c r="J114">
        <v>25867980000</v>
      </c>
      <c r="K114">
        <v>149.63</v>
      </c>
      <c r="L114" t="s">
        <v>12</v>
      </c>
      <c r="M114">
        <v>792.73289999999997</v>
      </c>
      <c r="N114">
        <v>23133200000</v>
      </c>
      <c r="O114">
        <v>43.74</v>
      </c>
      <c r="P114" t="s">
        <v>12</v>
      </c>
      <c r="Q114">
        <v>1514.7961</v>
      </c>
      <c r="R114">
        <v>35202700000</v>
      </c>
      <c r="S114">
        <v>127.86</v>
      </c>
      <c r="T114" t="s">
        <v>12</v>
      </c>
      <c r="U114">
        <v>637.16790000000003</v>
      </c>
      <c r="V114">
        <v>26248000000</v>
      </c>
    </row>
    <row r="115" spans="2:22" x14ac:dyDescent="0.25">
      <c r="B115" s="1">
        <v>45534</v>
      </c>
      <c r="C115">
        <v>220.33</v>
      </c>
      <c r="D115" t="s">
        <v>12</v>
      </c>
      <c r="E115">
        <v>575.3374</v>
      </c>
      <c r="F115">
        <v>28617690000</v>
      </c>
      <c r="G115">
        <v>91.28</v>
      </c>
      <c r="H115" t="s">
        <v>12</v>
      </c>
      <c r="I115">
        <v>-1636.8304000000001</v>
      </c>
      <c r="J115">
        <v>25929990000</v>
      </c>
      <c r="K115">
        <v>157.19999999999999</v>
      </c>
      <c r="L115" t="s">
        <v>12</v>
      </c>
      <c r="M115">
        <v>-694.51459999999997</v>
      </c>
      <c r="N115">
        <v>24561510000</v>
      </c>
      <c r="O115">
        <v>45.74</v>
      </c>
      <c r="P115" t="s">
        <v>12</v>
      </c>
      <c r="Q115">
        <v>1362.9543000000001</v>
      </c>
      <c r="R115">
        <v>33858710000</v>
      </c>
      <c r="S115">
        <v>131.46</v>
      </c>
      <c r="T115" t="s">
        <v>12</v>
      </c>
      <c r="U115">
        <v>-458.84199999999998</v>
      </c>
      <c r="V115">
        <v>22393070000</v>
      </c>
    </row>
    <row r="116" spans="2:22" x14ac:dyDescent="0.25">
      <c r="B116" s="1">
        <v>45565</v>
      </c>
      <c r="C116">
        <v>225.76</v>
      </c>
      <c r="D116" t="s">
        <v>12</v>
      </c>
      <c r="E116">
        <v>-820.13369999999998</v>
      </c>
      <c r="F116">
        <v>21404740000</v>
      </c>
      <c r="G116">
        <v>87.8</v>
      </c>
      <c r="H116" t="s">
        <v>12</v>
      </c>
      <c r="I116">
        <v>-476.82080000000002</v>
      </c>
      <c r="J116">
        <v>28385670000</v>
      </c>
      <c r="K116">
        <v>154.02000000000001</v>
      </c>
      <c r="L116" t="s">
        <v>12</v>
      </c>
      <c r="M116">
        <v>600.07989999999995</v>
      </c>
      <c r="N116">
        <v>20450220000</v>
      </c>
      <c r="O116">
        <v>45.32</v>
      </c>
      <c r="P116" t="s">
        <v>12</v>
      </c>
      <c r="Q116">
        <v>-3507.2905000000001</v>
      </c>
      <c r="R116">
        <v>34946490000</v>
      </c>
      <c r="S116">
        <v>135.44</v>
      </c>
      <c r="T116" t="s">
        <v>12</v>
      </c>
      <c r="U116">
        <v>-705.46220000000005</v>
      </c>
      <c r="V116">
        <v>19963660000</v>
      </c>
    </row>
    <row r="117" spans="2:22" x14ac:dyDescent="0.25">
      <c r="B117" s="1">
        <v>45596</v>
      </c>
      <c r="C117">
        <v>222.24</v>
      </c>
      <c r="D117" t="s">
        <v>12</v>
      </c>
      <c r="E117">
        <v>150.351</v>
      </c>
      <c r="F117">
        <v>19065700000</v>
      </c>
      <c r="G117">
        <v>88.59</v>
      </c>
      <c r="H117" t="s">
        <v>12</v>
      </c>
      <c r="I117">
        <v>-717.98559999999998</v>
      </c>
      <c r="J117">
        <v>30119500000</v>
      </c>
      <c r="K117">
        <v>146.87</v>
      </c>
      <c r="L117" t="s">
        <v>12</v>
      </c>
      <c r="M117">
        <v>-289.84980000000002</v>
      </c>
      <c r="N117">
        <v>22602690000</v>
      </c>
      <c r="O117">
        <v>46.48</v>
      </c>
      <c r="P117" t="s">
        <v>12</v>
      </c>
      <c r="Q117">
        <v>831.77470000000005</v>
      </c>
      <c r="R117">
        <v>35887590000</v>
      </c>
      <c r="S117">
        <v>133.83000000000001</v>
      </c>
      <c r="T117" t="s">
        <v>12</v>
      </c>
      <c r="U117">
        <v>1237.4623999999999</v>
      </c>
      <c r="V117">
        <v>23227190000</v>
      </c>
    </row>
    <row r="118" spans="2:22" x14ac:dyDescent="0.25">
      <c r="B118" s="1">
        <v>45625</v>
      </c>
      <c r="C118">
        <v>233.73</v>
      </c>
      <c r="D118" t="s">
        <v>12</v>
      </c>
      <c r="E118">
        <v>94.508399999999995</v>
      </c>
      <c r="F118">
        <v>18591080000</v>
      </c>
      <c r="G118">
        <v>95.53</v>
      </c>
      <c r="H118" t="s">
        <v>12</v>
      </c>
      <c r="I118">
        <v>91.933000000000007</v>
      </c>
      <c r="J118">
        <v>23054410000</v>
      </c>
      <c r="K118">
        <v>147.41</v>
      </c>
      <c r="L118" t="s">
        <v>12</v>
      </c>
      <c r="M118">
        <v>-238.97800000000001</v>
      </c>
      <c r="N118">
        <v>21585670000</v>
      </c>
      <c r="O118">
        <v>51.34</v>
      </c>
      <c r="P118" t="s">
        <v>12</v>
      </c>
      <c r="Q118">
        <v>4142.1431000000002</v>
      </c>
      <c r="R118">
        <v>46400010000</v>
      </c>
      <c r="S118">
        <v>143.99</v>
      </c>
      <c r="T118" t="s">
        <v>12</v>
      </c>
      <c r="U118">
        <v>399.58330000000001</v>
      </c>
      <c r="V118">
        <v>21683480000</v>
      </c>
    </row>
    <row r="119" spans="2:22" x14ac:dyDescent="0.25">
      <c r="B119" s="1">
        <v>45657</v>
      </c>
      <c r="C119">
        <v>232.52</v>
      </c>
      <c r="D119" t="s">
        <v>12</v>
      </c>
      <c r="E119">
        <v>295.03739999999999</v>
      </c>
      <c r="F119">
        <v>22635630000</v>
      </c>
      <c r="G119">
        <v>85.66</v>
      </c>
      <c r="H119" t="s">
        <v>12</v>
      </c>
      <c r="I119">
        <v>-733.35879999999997</v>
      </c>
      <c r="J119">
        <v>24031560000</v>
      </c>
      <c r="K119">
        <v>137.57</v>
      </c>
      <c r="L119" t="s">
        <v>12</v>
      </c>
      <c r="M119">
        <v>-508.70940000000002</v>
      </c>
      <c r="N119">
        <v>22409640000</v>
      </c>
      <c r="O119">
        <v>48.33</v>
      </c>
      <c r="P119" t="s">
        <v>12</v>
      </c>
      <c r="Q119">
        <v>-1996.8305</v>
      </c>
      <c r="R119">
        <v>40824440000</v>
      </c>
      <c r="S119">
        <v>131.76</v>
      </c>
      <c r="T119" t="s">
        <v>12</v>
      </c>
      <c r="U119">
        <v>-117.1665</v>
      </c>
      <c r="V119">
        <v>20417480000</v>
      </c>
    </row>
    <row r="120" spans="2:22" x14ac:dyDescent="0.25">
      <c r="B120" s="1">
        <v>45688</v>
      </c>
      <c r="C120">
        <v>230.81</v>
      </c>
      <c r="D120" t="s">
        <v>12</v>
      </c>
      <c r="E120">
        <v>654.37329999999997</v>
      </c>
      <c r="F120">
        <v>22694240000</v>
      </c>
      <c r="G120">
        <v>87.64</v>
      </c>
      <c r="H120" t="s">
        <v>12</v>
      </c>
      <c r="I120">
        <v>-1782.5582999999999</v>
      </c>
      <c r="J120">
        <v>29285410000</v>
      </c>
      <c r="K120">
        <v>146.87</v>
      </c>
      <c r="L120" t="s">
        <v>12</v>
      </c>
      <c r="M120">
        <v>458.0521</v>
      </c>
      <c r="N120">
        <v>25980330000</v>
      </c>
      <c r="O120">
        <v>51.47</v>
      </c>
      <c r="P120" t="s">
        <v>12</v>
      </c>
      <c r="Q120">
        <v>2729.7593000000002</v>
      </c>
      <c r="R120">
        <v>43196040000</v>
      </c>
      <c r="S120">
        <v>138.35</v>
      </c>
      <c r="T120" t="s">
        <v>12</v>
      </c>
      <c r="U120">
        <v>720.25210000000004</v>
      </c>
      <c r="V120">
        <v>22521040000</v>
      </c>
    </row>
    <row r="121" spans="2:22" x14ac:dyDescent="0.25">
      <c r="B121" s="1">
        <v>45716</v>
      </c>
      <c r="C121">
        <v>225.53</v>
      </c>
      <c r="D121" t="s">
        <v>12</v>
      </c>
      <c r="E121">
        <v>-528.21699999999998</v>
      </c>
      <c r="F121">
        <v>17781160000</v>
      </c>
      <c r="G121">
        <v>91</v>
      </c>
      <c r="H121" t="s">
        <v>12</v>
      </c>
      <c r="I121">
        <v>-390.2679</v>
      </c>
      <c r="J121">
        <v>25308700000</v>
      </c>
      <c r="K121">
        <v>148.93</v>
      </c>
      <c r="L121" t="s">
        <v>12</v>
      </c>
      <c r="M121">
        <v>-74.722499999999997</v>
      </c>
      <c r="N121">
        <v>24404040000</v>
      </c>
      <c r="O121">
        <v>52.18</v>
      </c>
      <c r="P121" t="s">
        <v>12</v>
      </c>
      <c r="Q121">
        <v>255.68270000000001</v>
      </c>
      <c r="R121">
        <v>42827430000</v>
      </c>
      <c r="S121">
        <v>136.33000000000001</v>
      </c>
      <c r="T121" t="s">
        <v>12</v>
      </c>
      <c r="U121">
        <v>-499.7423</v>
      </c>
      <c r="V121">
        <v>23225550000</v>
      </c>
    </row>
    <row r="122" spans="2:22" x14ac:dyDescent="0.25">
      <c r="B122" s="1">
        <v>45747</v>
      </c>
      <c r="C122">
        <v>206.48</v>
      </c>
      <c r="D122" t="s">
        <v>12</v>
      </c>
      <c r="E122">
        <v>-495.96</v>
      </c>
      <c r="F122">
        <v>25903170000</v>
      </c>
      <c r="G122">
        <v>93.45</v>
      </c>
      <c r="H122" t="s">
        <v>12</v>
      </c>
      <c r="I122">
        <v>-623.79160000000002</v>
      </c>
      <c r="J122">
        <v>32148050000</v>
      </c>
      <c r="K122">
        <v>146.01</v>
      </c>
      <c r="L122" t="s">
        <v>12</v>
      </c>
      <c r="M122">
        <v>-475.6377</v>
      </c>
      <c r="N122">
        <v>24108260000</v>
      </c>
      <c r="O122">
        <v>49.81</v>
      </c>
      <c r="P122" t="s">
        <v>12</v>
      </c>
      <c r="Q122">
        <v>-401.18939999999998</v>
      </c>
      <c r="R122">
        <v>56678890000</v>
      </c>
      <c r="S122">
        <v>131.07</v>
      </c>
      <c r="T122" t="s">
        <v>12</v>
      </c>
      <c r="U122">
        <v>-555.18520000000001</v>
      </c>
      <c r="V122">
        <v>29151770000</v>
      </c>
    </row>
    <row r="123" spans="2:22" x14ac:dyDescent="0.25">
      <c r="B123" s="1">
        <v>45777</v>
      </c>
      <c r="C123">
        <v>209.97</v>
      </c>
      <c r="D123" t="s">
        <v>12</v>
      </c>
      <c r="E123">
        <v>-174.76169999999999</v>
      </c>
      <c r="F123">
        <v>31581750000</v>
      </c>
      <c r="G123">
        <v>80.5</v>
      </c>
      <c r="H123" t="s">
        <v>12</v>
      </c>
      <c r="I123">
        <v>-2474.5989</v>
      </c>
      <c r="J123">
        <v>41358240000</v>
      </c>
      <c r="K123">
        <v>140.47</v>
      </c>
      <c r="L123" t="s">
        <v>12</v>
      </c>
      <c r="M123">
        <v>-359.88139999999999</v>
      </c>
      <c r="N123">
        <v>35442710000</v>
      </c>
      <c r="O123">
        <v>48.76</v>
      </c>
      <c r="P123" t="s">
        <v>12</v>
      </c>
      <c r="Q123">
        <v>-1740.5343</v>
      </c>
      <c r="R123">
        <v>65883010000</v>
      </c>
      <c r="S123">
        <v>131.22</v>
      </c>
      <c r="T123" t="s">
        <v>12</v>
      </c>
      <c r="U123">
        <v>-747.44579999999996</v>
      </c>
      <c r="V123">
        <v>35521120000</v>
      </c>
    </row>
    <row r="124" spans="2:22" x14ac:dyDescent="0.25">
      <c r="B124" s="1">
        <v>45807</v>
      </c>
      <c r="C124">
        <v>230.91</v>
      </c>
      <c r="D124" t="s">
        <v>12</v>
      </c>
      <c r="E124">
        <v>598.40129999999999</v>
      </c>
      <c r="F124">
        <v>26081590000</v>
      </c>
      <c r="G124">
        <v>81.53</v>
      </c>
      <c r="H124" t="s">
        <v>12</v>
      </c>
      <c r="I124">
        <v>-542.62459999999999</v>
      </c>
      <c r="J124">
        <v>22825070000</v>
      </c>
      <c r="K124">
        <v>132.63999999999999</v>
      </c>
      <c r="L124" t="s">
        <v>12</v>
      </c>
      <c r="M124">
        <v>-330.79250000000002</v>
      </c>
      <c r="N124">
        <v>33714170000</v>
      </c>
      <c r="O124">
        <v>50.96</v>
      </c>
      <c r="P124" t="s">
        <v>12</v>
      </c>
      <c r="Q124">
        <v>-1764.3613</v>
      </c>
      <c r="R124">
        <v>36050210000</v>
      </c>
      <c r="S124">
        <v>142.82</v>
      </c>
      <c r="T124" t="s">
        <v>12</v>
      </c>
      <c r="U124">
        <v>529.6653</v>
      </c>
      <c r="V124">
        <v>23311310000</v>
      </c>
    </row>
    <row r="125" spans="2:22" x14ac:dyDescent="0.25">
      <c r="B125" s="1">
        <v>45838</v>
      </c>
      <c r="C125">
        <v>253.23</v>
      </c>
      <c r="D125" t="s">
        <v>12</v>
      </c>
      <c r="E125">
        <v>797.9769</v>
      </c>
      <c r="F125">
        <v>28389490000</v>
      </c>
      <c r="G125">
        <v>84.81</v>
      </c>
      <c r="H125" t="s">
        <v>12</v>
      </c>
      <c r="I125">
        <v>-397.13170000000002</v>
      </c>
      <c r="J125">
        <v>42187600000</v>
      </c>
      <c r="K125">
        <v>134.79</v>
      </c>
      <c r="L125" t="s">
        <v>12</v>
      </c>
      <c r="M125">
        <v>-556.36080000000004</v>
      </c>
      <c r="N125">
        <v>33275750000</v>
      </c>
      <c r="O125">
        <v>52.37</v>
      </c>
      <c r="P125" t="s">
        <v>12</v>
      </c>
      <c r="Q125">
        <v>-744.86310000000003</v>
      </c>
      <c r="R125">
        <v>37451130000</v>
      </c>
      <c r="S125">
        <v>147.52000000000001</v>
      </c>
      <c r="T125" t="s">
        <v>12</v>
      </c>
      <c r="U125">
        <v>-69.206699999999998</v>
      </c>
      <c r="V125">
        <v>35972320000</v>
      </c>
    </row>
    <row r="126" spans="2:22" x14ac:dyDescent="0.25">
      <c r="B126" s="1">
        <v>45869</v>
      </c>
      <c r="C126">
        <v>262.74</v>
      </c>
      <c r="D126" t="s">
        <v>12</v>
      </c>
      <c r="E126">
        <v>888.56410000000005</v>
      </c>
      <c r="F126">
        <v>34436840000</v>
      </c>
      <c r="G126">
        <v>87.21</v>
      </c>
      <c r="H126" t="s">
        <v>12</v>
      </c>
      <c r="I126">
        <v>-248.20259999999999</v>
      </c>
      <c r="J126">
        <v>30921970000</v>
      </c>
      <c r="K126">
        <v>130.43</v>
      </c>
      <c r="L126" t="s">
        <v>12</v>
      </c>
      <c r="M126">
        <v>-1138.2008000000001</v>
      </c>
      <c r="N126">
        <v>42923250000</v>
      </c>
      <c r="O126">
        <v>52.37</v>
      </c>
      <c r="P126" t="s">
        <v>12</v>
      </c>
      <c r="Q126">
        <v>2797.0976999999998</v>
      </c>
      <c r="R126">
        <v>41864540000</v>
      </c>
      <c r="S126">
        <v>152.01</v>
      </c>
      <c r="T126" t="s">
        <v>12</v>
      </c>
      <c r="U126">
        <v>571.28480000000002</v>
      </c>
      <c r="V126">
        <v>37357820000</v>
      </c>
    </row>
    <row r="127" spans="2:22" x14ac:dyDescent="0.25">
      <c r="B127" s="1">
        <v>45898</v>
      </c>
      <c r="C127">
        <v>262.45</v>
      </c>
      <c r="D127" t="s">
        <v>12</v>
      </c>
      <c r="E127">
        <v>269.7534</v>
      </c>
      <c r="F127">
        <v>37165640000</v>
      </c>
      <c r="G127">
        <v>90.39</v>
      </c>
      <c r="H127" t="s">
        <v>12</v>
      </c>
      <c r="I127">
        <v>-571.2174</v>
      </c>
      <c r="J127">
        <v>26250690000</v>
      </c>
      <c r="K127">
        <v>137.43</v>
      </c>
      <c r="L127" t="s">
        <v>12</v>
      </c>
      <c r="M127">
        <v>278.12909999999999</v>
      </c>
      <c r="N127">
        <v>38788580000</v>
      </c>
      <c r="O127">
        <v>53.99</v>
      </c>
      <c r="P127" t="s">
        <v>12</v>
      </c>
      <c r="Q127">
        <v>74.989000000000004</v>
      </c>
      <c r="R127">
        <v>40259620000</v>
      </c>
      <c r="S127">
        <v>152.01</v>
      </c>
      <c r="T127" t="s">
        <v>12</v>
      </c>
      <c r="U127">
        <v>-89.585499999999996</v>
      </c>
      <c r="V127">
        <v>30703100000</v>
      </c>
    </row>
    <row r="128" spans="2:22" x14ac:dyDescent="0.25">
      <c r="B128" s="1">
        <v>45930</v>
      </c>
      <c r="C128">
        <v>281.86</v>
      </c>
      <c r="D128" t="s">
        <v>12</v>
      </c>
      <c r="E128">
        <v>-143.05670000000001</v>
      </c>
      <c r="F128">
        <v>55225080000</v>
      </c>
      <c r="G128">
        <v>89.34</v>
      </c>
      <c r="H128" t="s">
        <v>12</v>
      </c>
      <c r="I128">
        <v>-447.3048</v>
      </c>
      <c r="J128">
        <v>31178970000</v>
      </c>
      <c r="K128">
        <v>139.16999999999999</v>
      </c>
      <c r="L128" t="s">
        <v>12</v>
      </c>
      <c r="M128">
        <v>-49.028700000000001</v>
      </c>
      <c r="N128">
        <v>35547110000</v>
      </c>
      <c r="O128">
        <v>53.87</v>
      </c>
      <c r="P128" t="s">
        <v>12</v>
      </c>
      <c r="Q128">
        <v>-266.99369999999999</v>
      </c>
      <c r="R128">
        <v>39449610000</v>
      </c>
      <c r="S128">
        <v>154.22999999999999</v>
      </c>
      <c r="T128" t="s">
        <v>12</v>
      </c>
      <c r="U128">
        <v>387.89280000000002</v>
      </c>
      <c r="V128">
        <v>33315180000</v>
      </c>
    </row>
    <row r="129" spans="2:22" x14ac:dyDescent="0.25">
      <c r="B129" s="1">
        <v>45961</v>
      </c>
      <c r="C129">
        <v>300.68</v>
      </c>
      <c r="D129" t="s">
        <v>12</v>
      </c>
      <c r="E129">
        <v>930.05849999999998</v>
      </c>
      <c r="F129">
        <v>62948520000</v>
      </c>
      <c r="G129">
        <v>88.13</v>
      </c>
      <c r="H129" t="s">
        <v>12</v>
      </c>
      <c r="I129">
        <v>-45.495399999999997</v>
      </c>
      <c r="J129">
        <v>26890530000</v>
      </c>
      <c r="K129">
        <v>144.25</v>
      </c>
      <c r="L129" t="s">
        <v>12</v>
      </c>
      <c r="M129">
        <v>536.29740000000004</v>
      </c>
      <c r="N129">
        <v>35830940000</v>
      </c>
      <c r="O129">
        <v>52.37</v>
      </c>
      <c r="P129" t="s">
        <v>12</v>
      </c>
      <c r="Q129">
        <v>102.625</v>
      </c>
      <c r="R129">
        <v>51372280000</v>
      </c>
      <c r="S129">
        <v>155.06</v>
      </c>
      <c r="T129" t="s">
        <v>12</v>
      </c>
      <c r="U129">
        <v>131.18219999999999</v>
      </c>
      <c r="V129">
        <v>37808570000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Rady Bloomberg Terminal</dc:creator>
  <cp:lastModifiedBy>Rady Bloomberg Terminal</cp:lastModifiedBy>
  <dcterms:created xsi:type="dcterms:W3CDTF">2015-06-05T18:17:20Z</dcterms:created>
  <dcterms:modified xsi:type="dcterms:W3CDTF">2025-11-27T00:16:57Z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